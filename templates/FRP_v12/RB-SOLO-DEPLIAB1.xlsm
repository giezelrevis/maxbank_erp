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01/gR6TKG39oO8gV4ORCc98ZecdSoytqF05oen1shmMD8mKxHnNUhs96Xxu6UgHsSYUxhXyYAg3VsP7ZPwDB9Q==" workbookSaltValue="oOCDaxXywEL0nmicONVGjg==" workbookSpinCount="100000" lockStructure="1"/>
  <bookViews>
    <workbookView xWindow="135" yWindow="-135" windowWidth="15150" windowHeight="8805" firstSheet="2" activeTab="2"/>
  </bookViews>
  <sheets>
    <sheet name="22" sheetId="1" state="hidden" r:id="rId1"/>
    <sheet name="22A" sheetId="2" state="hidden" r:id="rId2"/>
    <sheet name="Bank" sheetId="5" r:id="rId3"/>
  </sheets>
  <definedNames>
    <definedName name="_xlnm.Print_Area" localSheetId="0">'22'!$A$1:$AW$47</definedName>
    <definedName name="_xlnm.Print_Area" localSheetId="1">'22A'!$A$1:$BD$33</definedName>
    <definedName name="_xlnm.Print_Titles" localSheetId="0">'22'!$A:$H,'22'!$1:$9</definedName>
    <definedName name="_xlnm.Print_Titles" localSheetId="1">'22A'!$A:$H,'22A'!$1:$9</definedName>
  </definedNames>
  <calcPr calcId="152511" fullCalcOnLoad="1"/>
</workbook>
</file>

<file path=xl/calcChain.xml><?xml version="1.0" encoding="utf-8"?>
<calcChain xmlns="http://schemas.openxmlformats.org/spreadsheetml/2006/main">
  <c r="I34" i="1" l="1"/>
  <c r="Q34" i="1"/>
  <c r="Y34" i="1"/>
  <c r="AG34" i="1"/>
  <c r="AN34" i="1" s="1"/>
  <c r="AO34" i="1"/>
  <c r="AV36" i="1"/>
  <c r="AV35" i="1"/>
  <c r="AN36" i="1"/>
  <c r="AN35" i="1"/>
  <c r="AF36" i="1"/>
  <c r="AF35" i="1"/>
  <c r="X36" i="1"/>
  <c r="X35" i="1"/>
  <c r="P36" i="1"/>
  <c r="AW36" i="1" s="1"/>
  <c r="P35" i="1"/>
  <c r="AW35" i="1" s="1"/>
  <c r="BA12" i="2"/>
  <c r="AZ12" i="2"/>
  <c r="AY12" i="2"/>
  <c r="AX12" i="2"/>
  <c r="AW12" i="2"/>
  <c r="BA11" i="2"/>
  <c r="AZ11" i="2"/>
  <c r="AY11" i="2"/>
  <c r="AX11" i="2"/>
  <c r="AW11" i="2"/>
  <c r="M28" i="2"/>
  <c r="BA28" i="2" s="1"/>
  <c r="L28" i="2"/>
  <c r="K28" i="2"/>
  <c r="U28" i="2"/>
  <c r="T28" i="2"/>
  <c r="AZ28" i="2" s="1"/>
  <c r="S28" i="2"/>
  <c r="AC28" i="2"/>
  <c r="AB28" i="2"/>
  <c r="AA28" i="2"/>
  <c r="AY28" i="2" s="1"/>
  <c r="AK28" i="2"/>
  <c r="AJ28" i="2"/>
  <c r="AI28" i="2"/>
  <c r="AP28" i="2"/>
  <c r="AO28" i="2"/>
  <c r="AH28" i="2"/>
  <c r="AG28" i="2"/>
  <c r="Z28" i="2"/>
  <c r="Y28" i="2"/>
  <c r="R28" i="2"/>
  <c r="Q28" i="2"/>
  <c r="J28" i="2"/>
  <c r="AX28" i="2" s="1"/>
  <c r="I28" i="2"/>
  <c r="BD10" i="2"/>
  <c r="BC10" i="2"/>
  <c r="BB10" i="2"/>
  <c r="BA10" i="2"/>
  <c r="AZ10" i="2"/>
  <c r="AY10" i="2"/>
  <c r="AX10" i="2"/>
  <c r="AW10" i="2"/>
  <c r="BD11" i="2"/>
  <c r="BC11" i="2"/>
  <c r="BB11" i="2"/>
  <c r="I14" i="1"/>
  <c r="I11" i="1" s="1"/>
  <c r="M14" i="1"/>
  <c r="M11" i="1"/>
  <c r="O14" i="1"/>
  <c r="O11" i="1" s="1"/>
  <c r="O10" i="1" s="1"/>
  <c r="O31" i="1" s="1"/>
  <c r="Q14" i="1"/>
  <c r="Q11" i="1"/>
  <c r="Q10" i="1" s="1"/>
  <c r="U14" i="1"/>
  <c r="U11" i="1" s="1"/>
  <c r="W14" i="1"/>
  <c r="W11" i="1" s="1"/>
  <c r="W10" i="1" s="1"/>
  <c r="W31" i="1" s="1"/>
  <c r="Y14" i="1"/>
  <c r="Y11" i="1" s="1"/>
  <c r="AC14" i="1"/>
  <c r="AC11" i="1" s="1"/>
  <c r="AC10" i="1" s="1"/>
  <c r="AC31" i="1" s="1"/>
  <c r="AE14" i="1"/>
  <c r="AE11" i="1" s="1"/>
  <c r="AG14" i="1"/>
  <c r="AG11" i="1" s="1"/>
  <c r="AK14" i="1"/>
  <c r="AK11" i="1"/>
  <c r="AK10" i="1" s="1"/>
  <c r="AK31" i="1" s="1"/>
  <c r="AM14" i="1"/>
  <c r="AM11" i="1" s="1"/>
  <c r="AM10" i="1" s="1"/>
  <c r="AM31" i="1" s="1"/>
  <c r="AO14" i="1"/>
  <c r="AO11" i="1"/>
  <c r="AO10" i="1" s="1"/>
  <c r="AU14" i="1"/>
  <c r="AU11" i="1" s="1"/>
  <c r="P12" i="1"/>
  <c r="X12" i="1"/>
  <c r="AF12" i="1"/>
  <c r="AN12" i="1"/>
  <c r="AV12" i="1"/>
  <c r="AW12" i="1" s="1"/>
  <c r="P13" i="1"/>
  <c r="AW13" i="1" s="1"/>
  <c r="X13" i="1"/>
  <c r="AF13" i="1"/>
  <c r="AN13" i="1"/>
  <c r="AV13" i="1"/>
  <c r="P14" i="1"/>
  <c r="AV14" i="1"/>
  <c r="P15" i="1"/>
  <c r="AW15" i="1" s="1"/>
  <c r="X15" i="1"/>
  <c r="AF15" i="1"/>
  <c r="AN15" i="1"/>
  <c r="AV15" i="1"/>
  <c r="P16" i="1"/>
  <c r="X16" i="1"/>
  <c r="AF16" i="1"/>
  <c r="AN16" i="1"/>
  <c r="AV16" i="1"/>
  <c r="AW16" i="1" s="1"/>
  <c r="P17" i="1"/>
  <c r="AW17" i="1" s="1"/>
  <c r="X17" i="1"/>
  <c r="AF17" i="1"/>
  <c r="AN17" i="1"/>
  <c r="AV17" i="1"/>
  <c r="I19" i="1"/>
  <c r="I18" i="1"/>
  <c r="M19" i="1"/>
  <c r="M18" i="1" s="1"/>
  <c r="P18" i="1" s="1"/>
  <c r="O19" i="1"/>
  <c r="O18" i="1"/>
  <c r="Q19" i="1"/>
  <c r="Q18" i="1" s="1"/>
  <c r="U19" i="1"/>
  <c r="U18" i="1" s="1"/>
  <c r="W19" i="1"/>
  <c r="W18" i="1"/>
  <c r="Y19" i="1"/>
  <c r="Y18" i="1" s="1"/>
  <c r="AC19" i="1"/>
  <c r="AC18" i="1"/>
  <c r="AE19" i="1"/>
  <c r="AE18" i="1" s="1"/>
  <c r="AG19" i="1"/>
  <c r="AG18" i="1"/>
  <c r="AK19" i="1"/>
  <c r="AK18" i="1" s="1"/>
  <c r="AN18" i="1" s="1"/>
  <c r="AM19" i="1"/>
  <c r="AM18" i="1"/>
  <c r="AO19" i="1"/>
  <c r="AO18" i="1" s="1"/>
  <c r="AU19" i="1"/>
  <c r="AU18" i="1" s="1"/>
  <c r="P19" i="1"/>
  <c r="X19" i="1"/>
  <c r="AN19" i="1"/>
  <c r="P20" i="1"/>
  <c r="AW20" i="1" s="1"/>
  <c r="X20" i="1"/>
  <c r="AF20" i="1"/>
  <c r="AN20" i="1"/>
  <c r="AV20" i="1"/>
  <c r="P21" i="1"/>
  <c r="AW21" i="1" s="1"/>
  <c r="X21" i="1"/>
  <c r="AF21" i="1"/>
  <c r="AN21" i="1"/>
  <c r="AV21" i="1"/>
  <c r="P22" i="1"/>
  <c r="AW22" i="1" s="1"/>
  <c r="X22" i="1"/>
  <c r="AF22" i="1"/>
  <c r="AN22" i="1"/>
  <c r="AV22" i="1"/>
  <c r="I23" i="1"/>
  <c r="P23" i="1" s="1"/>
  <c r="M23" i="1"/>
  <c r="O23" i="1"/>
  <c r="Q23" i="1"/>
  <c r="X23" i="1" s="1"/>
  <c r="U23" i="1"/>
  <c r="W23" i="1"/>
  <c r="Y23" i="1"/>
  <c r="AF23" i="1" s="1"/>
  <c r="AC23" i="1"/>
  <c r="AE23" i="1"/>
  <c r="AG23" i="1"/>
  <c r="AN23" i="1" s="1"/>
  <c r="AK23" i="1"/>
  <c r="AM23" i="1"/>
  <c r="AO23" i="1"/>
  <c r="AU23" i="1"/>
  <c r="AV23" i="1"/>
  <c r="P24" i="1"/>
  <c r="AW24" i="1" s="1"/>
  <c r="X24" i="1"/>
  <c r="AF24" i="1"/>
  <c r="AN24" i="1"/>
  <c r="AV24" i="1"/>
  <c r="P25" i="1"/>
  <c r="X25" i="1"/>
  <c r="AF25" i="1"/>
  <c r="AN25" i="1"/>
  <c r="AV25" i="1"/>
  <c r="AW25" i="1" s="1"/>
  <c r="P26" i="1"/>
  <c r="AW26" i="1" s="1"/>
  <c r="X26" i="1"/>
  <c r="AF26" i="1"/>
  <c r="AN26" i="1"/>
  <c r="AV26" i="1"/>
  <c r="P27" i="1"/>
  <c r="X27" i="1"/>
  <c r="AF27" i="1"/>
  <c r="AN27" i="1"/>
  <c r="AV27" i="1"/>
  <c r="AW27" i="1" s="1"/>
  <c r="I28" i="1"/>
  <c r="P28" i="1" s="1"/>
  <c r="M28" i="1"/>
  <c r="O28" i="1"/>
  <c r="Q28" i="1"/>
  <c r="X28" i="1" s="1"/>
  <c r="U28" i="1"/>
  <c r="W28" i="1"/>
  <c r="Y28" i="1"/>
  <c r="AF28" i="1" s="1"/>
  <c r="AC28" i="1"/>
  <c r="AE28" i="1"/>
  <c r="AG28" i="1"/>
  <c r="AN28" i="1" s="1"/>
  <c r="AK28" i="1"/>
  <c r="AM28" i="1"/>
  <c r="AO28" i="1"/>
  <c r="AV28" i="1" s="1"/>
  <c r="AS28" i="1"/>
  <c r="AU28" i="1"/>
  <c r="P29" i="1"/>
  <c r="AW29" i="1" s="1"/>
  <c r="X29" i="1"/>
  <c r="AF29" i="1"/>
  <c r="AN29" i="1"/>
  <c r="AV29" i="1"/>
  <c r="P30" i="1"/>
  <c r="X30" i="1"/>
  <c r="AW30" i="1" s="1"/>
  <c r="AF30" i="1"/>
  <c r="AN30" i="1"/>
  <c r="AV30" i="1"/>
  <c r="AS31" i="1"/>
  <c r="X33" i="1"/>
  <c r="AW33" i="1" s="1"/>
  <c r="P34" i="1"/>
  <c r="AW34" i="1" s="1"/>
  <c r="X34" i="1"/>
  <c r="AF34" i="1"/>
  <c r="AV34" i="1"/>
  <c r="P37" i="1"/>
  <c r="AW37" i="1" s="1"/>
  <c r="X37" i="1"/>
  <c r="AF37" i="1"/>
  <c r="AN37" i="1"/>
  <c r="AV37" i="1"/>
  <c r="P38" i="1"/>
  <c r="X38" i="1"/>
  <c r="AF38" i="1"/>
  <c r="AN38" i="1"/>
  <c r="AV38" i="1"/>
  <c r="AW38" i="1" s="1"/>
  <c r="I39" i="1"/>
  <c r="P39" i="1" s="1"/>
  <c r="M39" i="1"/>
  <c r="O39" i="1"/>
  <c r="Q39" i="1"/>
  <c r="X39" i="1" s="1"/>
  <c r="U39" i="1"/>
  <c r="W39" i="1"/>
  <c r="Y39" i="1"/>
  <c r="AF39" i="1" s="1"/>
  <c r="AC39" i="1"/>
  <c r="AE39" i="1"/>
  <c r="AG39" i="1"/>
  <c r="AN39" i="1" s="1"/>
  <c r="AK39" i="1"/>
  <c r="AM39" i="1"/>
  <c r="AO39" i="1"/>
  <c r="AV39" i="1" s="1"/>
  <c r="AU39" i="1"/>
  <c r="P40" i="1"/>
  <c r="AW40" i="1" s="1"/>
  <c r="X40" i="1"/>
  <c r="AF40" i="1"/>
  <c r="AN40" i="1"/>
  <c r="AV40" i="1"/>
  <c r="P41" i="1"/>
  <c r="X41" i="1"/>
  <c r="AW41" i="1" s="1"/>
  <c r="AF41" i="1"/>
  <c r="AN41" i="1"/>
  <c r="AV41" i="1"/>
  <c r="P42" i="1"/>
  <c r="AW42" i="1" s="1"/>
  <c r="X42" i="1"/>
  <c r="AF42" i="1"/>
  <c r="AN42" i="1"/>
  <c r="AV42" i="1"/>
  <c r="P43" i="1"/>
  <c r="X43" i="1"/>
  <c r="AW43" i="1" s="1"/>
  <c r="AF43" i="1"/>
  <c r="AN43" i="1"/>
  <c r="AV43" i="1"/>
  <c r="I44" i="1"/>
  <c r="P44" i="1" s="1"/>
  <c r="AW44" i="1" s="1"/>
  <c r="M44" i="1"/>
  <c r="O44" i="1"/>
  <c r="Q44" i="1"/>
  <c r="X44" i="1" s="1"/>
  <c r="U44" i="1"/>
  <c r="W44" i="1"/>
  <c r="Y44" i="1"/>
  <c r="AF44" i="1" s="1"/>
  <c r="AC44" i="1"/>
  <c r="AE44" i="1"/>
  <c r="AG44" i="1"/>
  <c r="AN44" i="1" s="1"/>
  <c r="AK44" i="1"/>
  <c r="AM44" i="1"/>
  <c r="AO44" i="1"/>
  <c r="AV44" i="1" s="1"/>
  <c r="AU44" i="1"/>
  <c r="P45" i="1"/>
  <c r="X45" i="1"/>
  <c r="AF45" i="1"/>
  <c r="AN45" i="1"/>
  <c r="AV45" i="1"/>
  <c r="AW45" i="1" s="1"/>
  <c r="P46" i="1"/>
  <c r="AW46" i="1" s="1"/>
  <c r="X46" i="1"/>
  <c r="AF46" i="1"/>
  <c r="AN46" i="1"/>
  <c r="AV46" i="1"/>
  <c r="P47" i="1"/>
  <c r="X47" i="1"/>
  <c r="AF47" i="1"/>
  <c r="AN47" i="1"/>
  <c r="AV47" i="1"/>
  <c r="AW47" i="1" s="1"/>
  <c r="AT23" i="1"/>
  <c r="AT19" i="1"/>
  <c r="AT18" i="1" s="1"/>
  <c r="AT10" i="1" s="1"/>
  <c r="AT31" i="1" s="1"/>
  <c r="AT14" i="1"/>
  <c r="AT11" i="1"/>
  <c r="AT44" i="1"/>
  <c r="AT39" i="1"/>
  <c r="AT28" i="1"/>
  <c r="AL44" i="1"/>
  <c r="AL39" i="1"/>
  <c r="AL14" i="1"/>
  <c r="AL11" i="1"/>
  <c r="AL10" i="1" s="1"/>
  <c r="AL31" i="1" s="1"/>
  <c r="AL19" i="1"/>
  <c r="AL18" i="1"/>
  <c r="AL23" i="1"/>
  <c r="AL28" i="1"/>
  <c r="AD44" i="1"/>
  <c r="AD39" i="1"/>
  <c r="AD14" i="1"/>
  <c r="AD11" i="1"/>
  <c r="AD19" i="1"/>
  <c r="AD18" i="1"/>
  <c r="AD10" i="1" s="1"/>
  <c r="AD31" i="1" s="1"/>
  <c r="AD23" i="1"/>
  <c r="AD28" i="1"/>
  <c r="V44" i="1"/>
  <c r="V39" i="1"/>
  <c r="V14" i="1"/>
  <c r="V11" i="1"/>
  <c r="V10" i="1" s="1"/>
  <c r="V31" i="1" s="1"/>
  <c r="V19" i="1"/>
  <c r="V18" i="1"/>
  <c r="V23" i="1"/>
  <c r="V28" i="1"/>
  <c r="N44" i="1"/>
  <c r="N39" i="1"/>
  <c r="N14" i="1"/>
  <c r="N11" i="1"/>
  <c r="N19" i="1"/>
  <c r="N18" i="1"/>
  <c r="N10" i="1" s="1"/>
  <c r="N31" i="1" s="1"/>
  <c r="N23" i="1"/>
  <c r="N28" i="1"/>
  <c r="AJ44" i="1"/>
  <c r="AB44" i="1"/>
  <c r="T44" i="1"/>
  <c r="L44" i="1"/>
  <c r="AJ39" i="1"/>
  <c r="AB39" i="1"/>
  <c r="T39" i="1"/>
  <c r="L39" i="1"/>
  <c r="AR28" i="1"/>
  <c r="AR31" i="1"/>
  <c r="AJ14" i="1"/>
  <c r="AJ11" i="1"/>
  <c r="AJ19" i="1"/>
  <c r="AJ18" i="1"/>
  <c r="AJ23" i="1"/>
  <c r="AJ28" i="1"/>
  <c r="AB14" i="1"/>
  <c r="AB11" i="1"/>
  <c r="AB19" i="1"/>
  <c r="AB18" i="1"/>
  <c r="AB10" i="1" s="1"/>
  <c r="AB31" i="1" s="1"/>
  <c r="AB23" i="1"/>
  <c r="AB28" i="1"/>
  <c r="T14" i="1"/>
  <c r="T11" i="1"/>
  <c r="T19" i="1"/>
  <c r="T18" i="1"/>
  <c r="T23" i="1"/>
  <c r="T28" i="1"/>
  <c r="L14" i="1"/>
  <c r="L11" i="1"/>
  <c r="L19" i="1"/>
  <c r="L18" i="1"/>
  <c r="L10" i="1" s="1"/>
  <c r="L31" i="1" s="1"/>
  <c r="L23" i="1"/>
  <c r="L28" i="1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P28" i="2"/>
  <c r="X28" i="2"/>
  <c r="AF28" i="2"/>
  <c r="BD28" i="2" s="1"/>
  <c r="AN28" i="2"/>
  <c r="AV28" i="2"/>
  <c r="O28" i="2"/>
  <c r="BC28" i="2" s="1"/>
  <c r="W28" i="2"/>
  <c r="AE28" i="2"/>
  <c r="AM28" i="2"/>
  <c r="AU28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B31" i="2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N28" i="2"/>
  <c r="V28" i="2"/>
  <c r="BB28" i="2" s="1"/>
  <c r="AD28" i="2"/>
  <c r="AL28" i="2"/>
  <c r="AT28" i="2"/>
  <c r="BA13" i="2"/>
  <c r="BA14" i="2"/>
  <c r="BA15" i="2"/>
  <c r="BA16" i="2"/>
  <c r="BA17" i="2"/>
  <c r="BA18" i="2"/>
  <c r="BA19" i="2"/>
  <c r="BA20" i="2"/>
  <c r="BA21" i="2"/>
  <c r="BA22" i="2"/>
  <c r="BA23" i="2"/>
  <c r="BA24" i="2"/>
  <c r="BA25" i="2"/>
  <c r="BA26" i="2"/>
  <c r="BA27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Y31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W31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BD12" i="2"/>
  <c r="BC12" i="2"/>
  <c r="BB12" i="2"/>
  <c r="T10" i="1"/>
  <c r="T31" i="1" s="1"/>
  <c r="AJ10" i="1"/>
  <c r="AJ31" i="1" s="1"/>
  <c r="AO31" i="1" l="1"/>
  <c r="Y10" i="1"/>
  <c r="AF11" i="1"/>
  <c r="P11" i="1"/>
  <c r="I10" i="1"/>
  <c r="Q31" i="1"/>
  <c r="X31" i="1" s="1"/>
  <c r="AW39" i="1"/>
  <c r="AW23" i="1"/>
  <c r="AV18" i="1"/>
  <c r="AN11" i="1"/>
  <c r="AG10" i="1"/>
  <c r="AU10" i="1"/>
  <c r="AU31" i="1" s="1"/>
  <c r="AV11" i="1"/>
  <c r="AW28" i="1"/>
  <c r="AF18" i="1"/>
  <c r="X18" i="1"/>
  <c r="AW18" i="1" s="1"/>
  <c r="AE10" i="1"/>
  <c r="AE31" i="1" s="1"/>
  <c r="U10" i="1"/>
  <c r="U31" i="1" s="1"/>
  <c r="M10" i="1"/>
  <c r="M31" i="1" s="1"/>
  <c r="AV19" i="1"/>
  <c r="AN14" i="1"/>
  <c r="X11" i="1"/>
  <c r="AF14" i="1"/>
  <c r="AF19" i="1"/>
  <c r="AW19" i="1" s="1"/>
  <c r="X14" i="1"/>
  <c r="X10" i="1" l="1"/>
  <c r="Y31" i="1"/>
  <c r="AF31" i="1" s="1"/>
  <c r="AF10" i="1"/>
  <c r="AN10" i="1"/>
  <c r="AG31" i="1"/>
  <c r="AN31" i="1" s="1"/>
  <c r="I31" i="1"/>
  <c r="P31" i="1" s="1"/>
  <c r="P10" i="1"/>
  <c r="AV10" i="1"/>
  <c r="AW14" i="1"/>
  <c r="AW11" i="1"/>
  <c r="AV31" i="1"/>
  <c r="AW10" i="1" l="1"/>
  <c r="AW31" i="1"/>
</calcChain>
</file>

<file path=xl/sharedStrings.xml><?xml version="1.0" encoding="utf-8"?>
<sst xmlns="http://schemas.openxmlformats.org/spreadsheetml/2006/main" count="923" uniqueCount="782">
  <si>
    <t>Deposit Liabilities</t>
  </si>
  <si>
    <t>Classified as to Type of Deposit</t>
  </si>
  <si>
    <t>Particulars</t>
  </si>
  <si>
    <t>Resident</t>
  </si>
  <si>
    <t>Account Code</t>
  </si>
  <si>
    <t>Demand Deposit</t>
  </si>
  <si>
    <t>Savings Deposit</t>
  </si>
  <si>
    <t>NOW</t>
  </si>
  <si>
    <t>Time Certificates of Deposit</t>
  </si>
  <si>
    <t>LTNCDs</t>
  </si>
  <si>
    <t>Total Deposit</t>
  </si>
  <si>
    <t>Peso Accts</t>
  </si>
  <si>
    <t>FCDU/EFCDU</t>
  </si>
  <si>
    <t>Total</t>
  </si>
  <si>
    <t>In US $</t>
  </si>
  <si>
    <t>Peso Equiv.</t>
  </si>
  <si>
    <t>A.</t>
  </si>
  <si>
    <t>(1)</t>
  </si>
  <si>
    <t>Government</t>
  </si>
  <si>
    <t>(a)</t>
  </si>
  <si>
    <t>National Government</t>
  </si>
  <si>
    <t>(b)</t>
  </si>
  <si>
    <t>LGU</t>
  </si>
  <si>
    <t>(c)</t>
  </si>
  <si>
    <t>GOCCs</t>
  </si>
  <si>
    <t>1.</t>
  </si>
  <si>
    <t>Social Security Institutions</t>
  </si>
  <si>
    <t>2.</t>
  </si>
  <si>
    <t>Other Financial</t>
  </si>
  <si>
    <t>3.</t>
  </si>
  <si>
    <t>Non-Financial</t>
  </si>
  <si>
    <t>(2)</t>
  </si>
  <si>
    <t>Banks</t>
  </si>
  <si>
    <t>UBs/KBs</t>
  </si>
  <si>
    <t>Government Banks</t>
  </si>
  <si>
    <t>Non-Government Banks</t>
  </si>
  <si>
    <t>Other Banks</t>
  </si>
  <si>
    <t>(3)</t>
  </si>
  <si>
    <t>Private Corporations</t>
  </si>
  <si>
    <t>Financial</t>
  </si>
  <si>
    <t>(4)</t>
  </si>
  <si>
    <t>Individuals</t>
  </si>
  <si>
    <t>(5)</t>
  </si>
  <si>
    <t>Trust Department</t>
  </si>
  <si>
    <t>B.</t>
  </si>
  <si>
    <t>OBUs</t>
  </si>
  <si>
    <t>Others</t>
  </si>
  <si>
    <t>Additional Information:</t>
  </si>
  <si>
    <t>Savings Deposit with Automatic Transfer</t>
  </si>
  <si>
    <t>Non-Taxable</t>
  </si>
  <si>
    <t>Taxable</t>
  </si>
  <si>
    <t>Dormant Accounts</t>
  </si>
  <si>
    <t>Reserve Exempt National Government Deposits</t>
  </si>
  <si>
    <t>Bureau of Customs</t>
  </si>
  <si>
    <t>Bureau of Internal Revenue</t>
  </si>
  <si>
    <t>(6)</t>
  </si>
  <si>
    <t>Gross New Deposits for the Period</t>
  </si>
  <si>
    <t>Gross Withdrawals for the Period</t>
  </si>
  <si>
    <t>(7)</t>
  </si>
  <si>
    <t xml:space="preserve">Classified as to Original Term </t>
  </si>
  <si>
    <t>Short Term (one year or less)</t>
  </si>
  <si>
    <t>Medium Term (&gt;1 year to 5 years)</t>
  </si>
  <si>
    <t>C.</t>
  </si>
  <si>
    <t>Long Term (&gt;5  years)</t>
  </si>
  <si>
    <t>Deposit Size</t>
  </si>
  <si>
    <t>Time Certificate of Deposits</t>
  </si>
  <si>
    <t>No. of Accts</t>
  </si>
  <si>
    <t>Amount</t>
  </si>
  <si>
    <t xml:space="preserve">P15,000.01 - P40,000 </t>
  </si>
  <si>
    <t xml:space="preserve">P40,000.01 - P60,000 </t>
  </si>
  <si>
    <t xml:space="preserve">P60,000.01 - P80,000 </t>
  </si>
  <si>
    <t xml:space="preserve">P80,000.01 - P100,000 </t>
  </si>
  <si>
    <t xml:space="preserve">P100,000.01 - P150,000 </t>
  </si>
  <si>
    <t xml:space="preserve">P150,000.01 - P200,000 </t>
  </si>
  <si>
    <t xml:space="preserve">P200,000.01 - P250,000 </t>
  </si>
  <si>
    <t xml:space="preserve">P250,000.01 - P300,000 </t>
  </si>
  <si>
    <t xml:space="preserve">P300,000.01 - P400,000 </t>
  </si>
  <si>
    <t xml:space="preserve">P400,000.01 - P500,000 </t>
  </si>
  <si>
    <t xml:space="preserve">P500,000.01 - P750,000 </t>
  </si>
  <si>
    <t xml:space="preserve">P750,000.01 - P1,000,000 </t>
  </si>
  <si>
    <t xml:space="preserve">P1,000,000.01 - P1,500,000 </t>
  </si>
  <si>
    <t xml:space="preserve">P1,500,000.01 - P2,000,000 </t>
  </si>
  <si>
    <t>Over P2,000,000</t>
  </si>
  <si>
    <t>Additional Information :</t>
  </si>
  <si>
    <r>
      <t xml:space="preserve">No. of Depositors </t>
    </r>
    <r>
      <rPr>
        <vertAlign val="superscript"/>
        <sz val="8"/>
        <rFont val="Arial"/>
        <family val="2"/>
      </rPr>
      <t>1/</t>
    </r>
  </si>
  <si>
    <r>
      <t>1/</t>
    </r>
    <r>
      <rPr>
        <sz val="8"/>
        <rFont val="Arial"/>
        <family val="2"/>
      </rPr>
      <t xml:space="preserve"> A depositor (and/or, in trust for) who has several types of accounts (I.e., current, savings, time, etc. should be counted as one)</t>
    </r>
  </si>
  <si>
    <t>215000000000100000</t>
  </si>
  <si>
    <t>215000000000120000</t>
  </si>
  <si>
    <t>215000000000121000</t>
  </si>
  <si>
    <t>215000000000122000</t>
  </si>
  <si>
    <t>215000000000123000</t>
  </si>
  <si>
    <t>215000000000123100</t>
  </si>
  <si>
    <t>215000000000123200</t>
  </si>
  <si>
    <t>215000000000123300</t>
  </si>
  <si>
    <t>215000000000130000</t>
  </si>
  <si>
    <t>215000000000131000</t>
  </si>
  <si>
    <t>215000000000131100</t>
  </si>
  <si>
    <t>215000000000131200</t>
  </si>
  <si>
    <t>215000000000132000</t>
  </si>
  <si>
    <t>215000000000160000</t>
  </si>
  <si>
    <t>215000000000161000</t>
  </si>
  <si>
    <t>215000000000162000</t>
  </si>
  <si>
    <t>215000000000170000</t>
  </si>
  <si>
    <t>215000000000180000</t>
  </si>
  <si>
    <t>215000000000200000</t>
  </si>
  <si>
    <t>215000000000231000</t>
  </si>
  <si>
    <t>215000000000232000</t>
  </si>
  <si>
    <t>215000000000000000</t>
  </si>
  <si>
    <t>215000015500600000</t>
  </si>
  <si>
    <t>215000000000651000</t>
  </si>
  <si>
    <t>215000000000652000</t>
  </si>
  <si>
    <t>215000000000661000</t>
  </si>
  <si>
    <t>215000016000660000</t>
  </si>
  <si>
    <t>215000016000661000</t>
  </si>
  <si>
    <t>215000016000662000</t>
  </si>
  <si>
    <t>215000016500600000</t>
  </si>
  <si>
    <t>215000017000600000</t>
  </si>
  <si>
    <t>215000000000610000</t>
  </si>
  <si>
    <t>215000000000611000</t>
  </si>
  <si>
    <t>215000000000612100</t>
  </si>
  <si>
    <t>215000000000612200</t>
  </si>
  <si>
    <t>215000000010000000</t>
  </si>
  <si>
    <t>215000000015000000</t>
  </si>
  <si>
    <t>215000000020000000</t>
  </si>
  <si>
    <t>215000000025000000</t>
  </si>
  <si>
    <t>215000000030000000</t>
  </si>
  <si>
    <t>215000000035000000</t>
  </si>
  <si>
    <t>215000000040000000</t>
  </si>
  <si>
    <t>215000000045000000</t>
  </si>
  <si>
    <t>215000000050000000</t>
  </si>
  <si>
    <t>215000000055000000</t>
  </si>
  <si>
    <t>215000000060000000</t>
  </si>
  <si>
    <t>215000000065000000</t>
  </si>
  <si>
    <t>215000000070000000</t>
  </si>
  <si>
    <t>215000000075000000</t>
  </si>
  <si>
    <t>215000000080000000</t>
  </si>
  <si>
    <t>215000000000600001</t>
  </si>
  <si>
    <t>x</t>
  </si>
  <si>
    <t>Deposit Liabilities by Size of Accounts Excluding Deposits in Foreign Offices/Branches</t>
  </si>
  <si>
    <t>Foreign Offices</t>
  </si>
  <si>
    <t>Foreign Regular</t>
  </si>
  <si>
    <t>TOTAL</t>
  </si>
  <si>
    <t>Non-Resident</t>
  </si>
  <si>
    <t>$$$</t>
  </si>
  <si>
    <t>Solo Reports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</si>
  <si>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</si>
  <si>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</si>
  <si>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</si>
  <si>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</si>
  <si>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</si>
  <si>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</si>
  <si>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</si>
  <si>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</si>
  <si>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</si>
  <si>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</si>
  <si>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</si>
  <si>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</si>
  <si>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</si>
  <si>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</si>
  <si>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</si>
  <si>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</si>
  <si>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</si>
  <si>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</si>
  <si>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</si>
  <si>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</si>
  <si>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</si>
  <si>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</si>
  <si>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</si>
  <si>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</si>
  <si>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</si>
  <si>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</si>
  <si>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</si>
  <si>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</si>
  <si>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</si>
  <si>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</si>
  <si>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</si>
  <si>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</si>
  <si>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</si>
  <si>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</si>
  <si>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</si>
  <si>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</si>
  <si>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</si>
  <si>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</si>
  <si>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</si>
  <si>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</si>
  <si>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</si>
  <si>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</si>
  <si>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</si>
  <si>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</si>
  <si>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</si>
  <si>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</si>
  <si>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</si>
  <si>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</si>
  <si>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</si>
  <si>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</si>
  <si>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</si>
  <si>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</si>
  <si>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</si>
  <si>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</si>
  <si>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</si>
  <si>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</si>
  <si>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</si>
  <si>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</si>
  <si>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</si>
  <si>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</si>
  <si>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</si>
  <si>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</si>
  <si>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</si>
  <si>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</si>
  <si>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</si>
  <si>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</si>
  <si>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</si>
  <si>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</si>
  <si>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</si>
  <si>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</si>
  <si>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</si>
  <si>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</si>
  <si>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</si>
  <si>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</si>
  <si>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</si>
  <si>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</si>
  <si>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</si>
  <si>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</si>
  <si>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</si>
  <si>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</si>
  <si>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</si>
  <si>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</si>
  <si>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</si>
  <si>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</si>
  <si>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</si>
  <si>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</si>
  <si>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</si>
  <si>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</si>
  <si>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</si>
  <si>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</si>
  <si>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</si>
  <si>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</si>
  <si>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</si>
  <si>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</si>
  <si>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</si>
  <si>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</si>
  <si>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</si>
  <si>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</si>
  <si>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</si>
  <si>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</si>
  <si>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</si>
  <si>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</si>
  <si>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</si>
  <si>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</si>
  <si>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</si>
  <si>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</si>
  <si>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</si>
  <si>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</si>
  <si>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</si>
  <si>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</si>
  <si>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</si>
  <si>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</si>
  <si>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</si>
  <si>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</si>
  <si>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</si>
  <si>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</si>
  <si>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</si>
  <si>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</si>
  <si>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</si>
  <si>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</si>
  <si>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</si>
  <si>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</si>
  <si>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</si>
  <si>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</si>
  <si>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</si>
  <si>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</si>
  <si>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</si>
  <si>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</si>
  <si>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</si>
  <si>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</si>
  <si>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</si>
  <si>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</si>
  <si>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</si>
  <si>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</si>
  <si>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</si>
  <si>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</si>
  <si>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</si>
  <si>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</si>
  <si>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</si>
  <si>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</si>
  <si>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</si>
  <si>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</si>
  <si>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</si>
  <si>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</si>
  <si>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</si>
  <si>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</si>
  <si>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</si>
  <si>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</si>
  <si>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</si>
  <si>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</si>
  <si>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</si>
  <si>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</si>
  <si>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</si>
  <si>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</si>
  <si>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</si>
  <si>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</si>
  <si>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</si>
  <si>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</si>
  <si>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</si>
  <si>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</si>
  <si>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</si>
  <si>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</si>
  <si>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</si>
  <si>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</si>
  <si>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</si>
  <si>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</si>
  <si>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</si>
  <si>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</si>
  <si>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</si>
  <si>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</si>
  <si>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</si>
  <si>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</si>
  <si>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</si>
  <si>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</si>
  <si>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</si>
  <si>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</si>
  <si>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</si>
  <si>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</si>
  <si>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</si>
  <si>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</si>
  <si>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</si>
  <si>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</si>
  <si>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</si>
  <si>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</si>
  <si>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</si>
  <si>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</si>
  <si>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</si>
  <si>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</si>
  <si>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</si>
  <si>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</si>
  <si>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</si>
  <si>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</si>
  <si>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</si>
  <si>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</si>
  <si>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</si>
  <si>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</si>
  <si>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</si>
  <si>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</si>
  <si>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</si>
  <si>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</si>
  <si>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</si>
  <si>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</si>
  <si>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</si>
  <si>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</si>
  <si>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</si>
  <si>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</si>
  <si>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</si>
  <si>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</si>
  <si>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</si>
  <si>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</si>
  <si>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</si>
  <si>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</si>
  <si>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</si>
  <si>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</si>
  <si>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</si>
  <si>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</si>
  <si>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</si>
  <si>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</si>
  <si>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</si>
  <si>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</si>
  <si>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</si>
  <si>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</si>
  <si>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</si>
  <si>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</si>
  <si>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</si>
  <si>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</si>
  <si>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</si>
  <si>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</si>
  <si>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</si>
  <si>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</si>
  <si>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</si>
  <si>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</si>
  <si>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</si>
  <si>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</si>
  <si>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</si>
  <si>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</si>
  <si>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</si>
  <si>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</si>
  <si>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</si>
  <si>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</si>
  <si>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</si>
  <si>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</si>
  <si>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</si>
  <si>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</si>
  <si>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</si>
  <si>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</si>
  <si>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</si>
  <si>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</si>
  <si>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</si>
  <si>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</si>
  <si>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</si>
  <si>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</si>
  <si>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</si>
  <si>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</si>
  <si>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</si>
  <si>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</si>
  <si>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</si>
  <si>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</si>
  <si>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</si>
  <si>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</si>
  <si>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</si>
  <si>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P5,000 and below</t>
  </si>
  <si>
    <t>215000000002000000</t>
  </si>
  <si>
    <t>215000000003000000</t>
  </si>
  <si>
    <t>P10,000.01 - P15,000</t>
  </si>
  <si>
    <t>215000000004000000</t>
  </si>
  <si>
    <t>RB OF MANDAUE INC</t>
  </si>
  <si>
    <t>P5,000.01 - P10,000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</si>
  <si>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</si>
  <si>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</si>
  <si>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</si>
  <si>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</si>
  <si>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</si>
  <si>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</si>
  <si>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</si>
  <si>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</si>
  <si>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</si>
  <si>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</si>
  <si>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</si>
  <si>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</si>
  <si>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</si>
  <si>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</si>
  <si>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</si>
  <si>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</si>
  <si>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</si>
  <si>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</si>
  <si>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</si>
  <si>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</si>
  <si>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</si>
  <si>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</si>
  <si>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</si>
  <si>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</si>
  <si>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</si>
  <si>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</si>
  <si>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</si>
  <si>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</si>
  <si>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</si>
  <si>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</si>
  <si>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</si>
  <si>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</si>
  <si>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</si>
  <si>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</si>
  <si>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</si>
  <si>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</si>
  <si>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</si>
  <si>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</si>
  <si>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</si>
  <si>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</si>
  <si>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</si>
  <si>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</si>
  <si>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</si>
  <si>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</si>
  <si>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</si>
  <si>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</si>
  <si>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</si>
  <si>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</si>
  <si>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</si>
  <si>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</si>
  <si>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</si>
  <si>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</si>
  <si>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</si>
  <si>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</si>
  <si>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</si>
  <si>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</si>
  <si>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</si>
  <si>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</si>
  <si>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</si>
  <si>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</si>
  <si>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</si>
  <si>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</si>
  <si>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</si>
  <si>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</si>
  <si>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</si>
  <si>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</si>
  <si>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</si>
  <si>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</si>
  <si>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</si>
  <si>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</si>
  <si>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</si>
  <si>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</si>
  <si>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</si>
  <si>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</si>
  <si>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</si>
  <si>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</si>
  <si>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</si>
  <si>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</si>
  <si>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</si>
  <si>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</si>
  <si>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</si>
  <si>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</si>
  <si>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</si>
  <si>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</si>
  <si>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</si>
  <si>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</si>
  <si>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</si>
  <si>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</si>
  <si>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</si>
  <si>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</si>
  <si>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</si>
  <si>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</si>
  <si>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</si>
  <si>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</si>
  <si>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</si>
  <si>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</si>
  <si>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</si>
  <si>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</si>
  <si>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</si>
  <si>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</si>
  <si>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</si>
  <si>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</si>
  <si>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</si>
  <si>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</si>
  <si>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</si>
  <si>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</si>
  <si>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</si>
  <si>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</si>
  <si>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</si>
  <si>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</si>
  <si>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</si>
  <si>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</si>
  <si>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</si>
  <si>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</si>
  <si>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</si>
  <si>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</si>
  <si>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</si>
  <si>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</si>
  <si>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</si>
  <si>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</si>
  <si>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</si>
  <si>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</si>
  <si>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</si>
  <si>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</si>
  <si>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</si>
  <si>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</si>
  <si>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</si>
  <si>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</si>
  <si>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</si>
  <si>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</si>
  <si>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</si>
  <si>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</si>
  <si>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</si>
  <si>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</si>
  <si>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</si>
  <si>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</si>
  <si>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</si>
  <si>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</si>
  <si>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</si>
  <si>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</si>
  <si>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</si>
  <si>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</si>
  <si>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</si>
  <si>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</si>
  <si>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</si>
  <si>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</si>
  <si>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</si>
  <si>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</si>
  <si>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</si>
  <si>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</si>
  <si>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</si>
  <si>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</si>
  <si>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</si>
  <si>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</si>
  <si>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</si>
  <si>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</si>
  <si>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</si>
  <si>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</si>
  <si>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</si>
  <si>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</si>
  <si>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</si>
  <si>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</si>
  <si>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</si>
  <si>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</si>
  <si>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</si>
  <si>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</si>
  <si>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</si>
  <si>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</si>
  <si>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</si>
  <si>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</si>
  <si>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</si>
  <si>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</si>
  <si>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</si>
  <si>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</si>
  <si>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</si>
  <si>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</si>
  <si>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</si>
  <si>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</si>
  <si>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</si>
  <si>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</si>
  <si>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</si>
  <si>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</si>
  <si>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</si>
  <si>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</si>
  <si>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</si>
  <si>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</si>
  <si>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</si>
  <si>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</si>
  <si>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</si>
  <si>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</si>
  <si>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</si>
  <si>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</si>
  <si>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</si>
  <si>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</si>
  <si>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</si>
  <si>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</si>
  <si>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</si>
  <si>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</si>
  <si>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</si>
  <si>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</si>
  <si>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</si>
  <si>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</si>
  <si>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</si>
  <si>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</si>
  <si>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</si>
  <si>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</si>
  <si>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</si>
  <si>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</si>
  <si>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</si>
  <si>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</si>
  <si>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</si>
  <si>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</si>
  <si>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</si>
  <si>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</si>
  <si>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</si>
  <si>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</si>
  <si>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</si>
  <si>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</si>
  <si>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</si>
  <si>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</si>
  <si>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</si>
  <si>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</si>
  <si>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</si>
  <si>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</si>
  <si>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</si>
  <si>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</si>
  <si>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</si>
  <si>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</si>
  <si>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</si>
  <si>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</si>
  <si>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</si>
  <si>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</si>
  <si>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</si>
  <si>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</si>
  <si>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</si>
  <si>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</si>
  <si>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</si>
  <si>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</si>
  <si>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</si>
  <si>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</si>
  <si>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</si>
  <si>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</si>
  <si>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</si>
  <si>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</si>
  <si>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</si>
  <si>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</si>
  <si>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</si>
  <si>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</si>
  <si>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</si>
  <si>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</si>
  <si>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</si>
  <si>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</si>
  <si>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</si>
  <si>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</si>
  <si>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</si>
  <si>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</si>
  <si>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</si>
  <si>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</si>
  <si>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</si>
  <si>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</si>
  <si>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</si>
  <si>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</si>
  <si>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</si>
  <si>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</si>
  <si>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</si>
  <si>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</si>
  <si>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</si>
  <si>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</si>
  <si>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</si>
  <si>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</si>
  <si>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</si>
  <si>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</si>
  <si>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</si>
  <si>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</si>
  <si>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</si>
  <si>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</si>
  <si>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</si>
  <si>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</si>
  <si>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</si>
  <si>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</si>
  <si>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</si>
  <si>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</si>
  <si>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</si>
  <si>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</si>
  <si>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</si>
  <si>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</si>
  <si>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</si>
  <si>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</si>
  <si>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</si>
  <si>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</si>
  <si>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</si>
  <si>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</si>
  <si>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</si>
  <si>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</si>
  <si>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</si>
  <si>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</si>
  <si>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</si>
  <si>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</si>
  <si>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</si>
  <si>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</si>
  <si>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</si>
  <si>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</si>
  <si>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</si>
  <si>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</si>
  <si>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</si>
  <si>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</si>
  <si>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</si>
  <si>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</si>
  <si>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</si>
  <si>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</si>
  <si>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</si>
  <si>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</si>
  <si>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</si>
  <si>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</si>
  <si>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</si>
  <si>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</si>
  <si>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</si>
  <si>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</si>
  <si>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</si>
  <si>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</si>
  <si>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</si>
  <si>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</si>
  <si>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</si>
  <si>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</si>
  <si>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</si>
  <si>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</si>
  <si>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</si>
  <si>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</si>
  <si>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</si>
  <si>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</si>
  <si>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</si>
  <si>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</si>
  <si>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</si>
  <si>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</si>
  <si>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</si>
  <si>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</si>
  <si>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</si>
  <si>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</si>
  <si>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</si>
  <si>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</si>
  <si>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</si>
  <si>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</si>
  <si>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</si>
  <si>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</si>
  <si>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</si>
  <si>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</si>
  <si>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</si>
  <si>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DEPLIAB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</si>
  <si>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</si>
  <si>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</si>
  <si>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</si>
  <si>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</si>
  <si>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</si>
  <si>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</si>
  <si>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</si>
  <si>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</si>
  <si>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</si>
  <si>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</si>
  <si>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</si>
  <si>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</si>
  <si>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</si>
  <si>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(i)</t>
  </si>
  <si>
    <t xml:space="preserve">Personal Equity and Retirement Account </t>
  </si>
  <si>
    <t>215000000000651100</t>
  </si>
  <si>
    <t>(ii)</t>
  </si>
  <si>
    <t>Other Non-Taxable</t>
  </si>
  <si>
    <t>215000000000651200</t>
  </si>
  <si>
    <t>v12.1</t>
  </si>
  <si>
    <t>NEW RURAL BANK OF SAN LEONARDO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</si>
</sst>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_);\(0\)"/>
    <numFmt numFmtId="165" formatCode="00000#"/>
    <numFmt numFmtId="169" formatCode="00000000000#"/>
  </numFmts>
  <fonts count="11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vertAlign val="superscript"/>
      <sz val="8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10"/>
      <color indexed="48"/>
      <name val="Arial"/>
      <family val="2"/>
    </font>
    <font>
      <sz val="8"/>
      <color indexed="55"/>
      <name val="Arial"/>
      <family val="2"/>
    </font>
    <font>
      <sz val="8"/>
      <color indexed="9"/>
      <name val="Arial"/>
      <family val="2"/>
    </font>
    <font>
      <sz val="10"/>
      <color indexed="1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5" fontId="2" fillId="0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2" fillId="0" borderId="3" xfId="0" applyFont="1" applyBorder="1"/>
    <xf numFmtId="169" fontId="2" fillId="0" borderId="0" xfId="0" applyNumberFormat="1" applyFont="1"/>
    <xf numFmtId="0" fontId="2" fillId="0" borderId="0" xfId="0" applyFont="1" applyAlignment="1">
      <alignment wrapText="1"/>
    </xf>
    <xf numFmtId="169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4" fillId="0" borderId="0" xfId="0" applyFont="1"/>
    <xf numFmtId="169" fontId="1" fillId="0" borderId="5" xfId="0" applyNumberFormat="1" applyFont="1" applyFill="1" applyBorder="1" applyAlignment="1">
      <alignment horizontal="center" vertical="center"/>
    </xf>
    <xf numFmtId="169" fontId="1" fillId="0" borderId="4" xfId="0" applyNumberFormat="1" applyFont="1" applyFill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169" fontId="1" fillId="0" borderId="7" xfId="0" applyNumberFormat="1" applyFont="1" applyBorder="1" applyAlignment="1">
      <alignment horizontal="center" vertical="center"/>
    </xf>
    <xf numFmtId="169" fontId="1" fillId="0" borderId="8" xfId="0" applyNumberFormat="1" applyFont="1" applyBorder="1" applyAlignment="1">
      <alignment horizontal="center" vertical="center"/>
    </xf>
    <xf numFmtId="169" fontId="1" fillId="0" borderId="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2" fillId="0" borderId="0" xfId="0" applyNumberFormat="1" applyFont="1"/>
    <xf numFmtId="3" fontId="2" fillId="0" borderId="0" xfId="0" applyNumberFormat="1" applyFont="1" applyAlignment="1">
      <alignment horizontal="right" wrapText="1"/>
    </xf>
    <xf numFmtId="0" fontId="2" fillId="0" borderId="0" xfId="0" applyFont="1" applyAlignment="1">
      <alignment horizontal="right" wrapText="1"/>
    </xf>
    <xf numFmtId="3" fontId="5" fillId="0" borderId="0" xfId="0" applyNumberFormat="1" applyFont="1" applyFill="1"/>
    <xf numFmtId="0" fontId="5" fillId="0" borderId="0" xfId="0" applyFont="1"/>
    <xf numFmtId="0" fontId="0" fillId="2" borderId="0" xfId="0" applyFill="1"/>
    <xf numFmtId="0" fontId="7" fillId="2" borderId="0" xfId="0" applyFont="1" applyFill="1"/>
    <xf numFmtId="165" fontId="2" fillId="0" borderId="1" xfId="0" applyNumberFormat="1" applyFont="1" applyFill="1" applyBorder="1" applyAlignment="1">
      <alignment horizontal="center" vertical="center"/>
    </xf>
    <xf numFmtId="4" fontId="5" fillId="0" borderId="1" xfId="0" applyNumberFormat="1" applyFont="1" applyBorder="1" applyAlignment="1" applyProtection="1">
      <alignment horizontal="right"/>
      <protection hidden="1"/>
    </xf>
    <xf numFmtId="4" fontId="5" fillId="3" borderId="1" xfId="0" applyNumberFormat="1" applyFont="1" applyFill="1" applyBorder="1" applyAlignment="1" applyProtection="1">
      <alignment horizontal="right"/>
      <protection hidden="1"/>
    </xf>
    <xf numFmtId="4" fontId="2" fillId="0" borderId="1" xfId="0" applyNumberFormat="1" applyFont="1" applyBorder="1" applyAlignment="1" applyProtection="1">
      <alignment horizontal="right"/>
      <protection hidden="1"/>
    </xf>
    <xf numFmtId="4" fontId="3" fillId="3" borderId="1" xfId="0" applyNumberFormat="1" applyFont="1" applyFill="1" applyBorder="1" applyAlignment="1" applyProtection="1">
      <alignment horizontal="right"/>
      <protection hidden="1"/>
    </xf>
    <xf numFmtId="4" fontId="5" fillId="0" borderId="1" xfId="0" applyNumberFormat="1" applyFont="1" applyFill="1" applyBorder="1" applyAlignment="1" applyProtection="1">
      <alignment horizontal="right"/>
      <protection hidden="1"/>
    </xf>
    <xf numFmtId="4" fontId="2" fillId="3" borderId="1" xfId="0" applyNumberFormat="1" applyFont="1" applyFill="1" applyBorder="1" applyAlignment="1" applyProtection="1">
      <alignment horizontal="right"/>
      <protection hidden="1"/>
    </xf>
    <xf numFmtId="165" fontId="2" fillId="0" borderId="1" xfId="0" applyNumberFormat="1" applyFont="1" applyFill="1" applyBorder="1" applyAlignment="1">
      <alignment horizontal="center" vertical="top" wrapText="1"/>
    </xf>
    <xf numFmtId="4" fontId="2" fillId="0" borderId="1" xfId="0" applyNumberFormat="1" applyFont="1" applyBorder="1" applyAlignment="1" applyProtection="1">
      <alignment horizontal="right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169" fontId="2" fillId="0" borderId="1" xfId="0" applyNumberFormat="1" applyFont="1" applyFill="1" applyBorder="1" applyAlignment="1">
      <alignment horizontal="center" vertical="center"/>
    </xf>
    <xf numFmtId="3" fontId="2" fillId="3" borderId="1" xfId="0" applyNumberFormat="1" applyFont="1" applyFill="1" applyBorder="1" applyProtection="1">
      <protection hidden="1"/>
    </xf>
    <xf numFmtId="4" fontId="3" fillId="3" borderId="1" xfId="0" applyNumberFormat="1" applyFont="1" applyFill="1" applyBorder="1" applyProtection="1">
      <protection hidden="1"/>
    </xf>
    <xf numFmtId="3" fontId="5" fillId="0" borderId="1" xfId="0" applyNumberFormat="1" applyFont="1" applyBorder="1" applyProtection="1">
      <protection hidden="1"/>
    </xf>
    <xf numFmtId="4" fontId="5" fillId="0" borderId="1" xfId="0" applyNumberFormat="1" applyFont="1" applyBorder="1" applyProtection="1">
      <protection hidden="1"/>
    </xf>
    <xf numFmtId="169" fontId="2" fillId="0" borderId="1" xfId="0" applyNumberFormat="1" applyFont="1" applyFill="1" applyBorder="1" applyAlignment="1">
      <alignment horizontal="center"/>
    </xf>
    <xf numFmtId="3" fontId="2" fillId="0" borderId="1" xfId="0" applyNumberFormat="1" applyFont="1" applyFill="1" applyBorder="1" applyAlignment="1" applyProtection="1">
      <alignment horizontal="right"/>
      <protection locked="0" hidden="1"/>
    </xf>
    <xf numFmtId="3" fontId="5" fillId="0" borderId="1" xfId="0" applyNumberFormat="1" applyFont="1" applyFill="1" applyBorder="1" applyAlignment="1" applyProtection="1">
      <alignment horizontal="right" vertical="center" wrapText="1"/>
      <protection hidden="1"/>
    </xf>
    <xf numFmtId="4" fontId="5" fillId="0" borderId="1" xfId="0" applyNumberFormat="1" applyFont="1" applyFill="1" applyBorder="1" applyProtection="1">
      <protection hidden="1"/>
    </xf>
    <xf numFmtId="4" fontId="5" fillId="3" borderId="1" xfId="0" applyNumberFormat="1" applyFont="1" applyFill="1" applyBorder="1" applyProtection="1">
      <protection hidden="1"/>
    </xf>
    <xf numFmtId="169" fontId="2" fillId="0" borderId="1" xfId="0" applyNumberFormat="1" applyFont="1" applyBorder="1"/>
    <xf numFmtId="4" fontId="2" fillId="3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vertical="center" wrapText="1"/>
      <protection locked="0" hidden="1"/>
    </xf>
    <xf numFmtId="4" fontId="2" fillId="0" borderId="1" xfId="0" applyNumberFormat="1" applyFont="1" applyFill="1" applyBorder="1" applyAlignment="1" applyProtection="1">
      <protection locked="0" hidden="1"/>
    </xf>
    <xf numFmtId="3" fontId="2" fillId="0" borderId="1" xfId="0" applyNumberFormat="1" applyFont="1" applyFill="1" applyBorder="1" applyAlignment="1" applyProtection="1">
      <protection locked="0" hidden="1"/>
    </xf>
    <xf numFmtId="3" fontId="2" fillId="0" borderId="1" xfId="0" applyNumberFormat="1" applyFont="1" applyFill="1" applyBorder="1" applyAlignment="1" applyProtection="1">
      <alignment wrapText="1"/>
      <protection locked="0" hidden="1"/>
    </xf>
    <xf numFmtId="4" fontId="2" fillId="0" borderId="1" xfId="0" applyNumberFormat="1" applyFont="1" applyFill="1" applyBorder="1" applyAlignment="1" applyProtection="1">
      <alignment horizontal="right"/>
      <protection locked="0" hidden="1"/>
    </xf>
    <xf numFmtId="0" fontId="2" fillId="0" borderId="3" xfId="0" applyFont="1" applyBorder="1" applyAlignment="1">
      <alignment horizontal="center" vertical="center" wrapText="1"/>
    </xf>
    <xf numFmtId="169" fontId="2" fillId="0" borderId="1" xfId="0" applyNumberFormat="1" applyFont="1" applyBorder="1" applyAlignment="1">
      <alignment horizontal="center" vertical="center" wrapText="1"/>
    </xf>
    <xf numFmtId="4" fontId="2" fillId="0" borderId="1" xfId="0" applyNumberFormat="1" applyFont="1" applyFill="1" applyBorder="1" applyAlignment="1" applyProtection="1">
      <protection locked="0"/>
    </xf>
    <xf numFmtId="4" fontId="5" fillId="0" borderId="1" xfId="0" applyNumberFormat="1" applyFont="1" applyBorder="1" applyAlignment="1" applyProtection="1">
      <alignment horizontal="right"/>
    </xf>
    <xf numFmtId="4" fontId="2" fillId="0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horizontal="right"/>
      <protection locked="0"/>
    </xf>
    <xf numFmtId="4" fontId="8" fillId="3" borderId="1" xfId="0" applyNumberFormat="1" applyFont="1" applyFill="1" applyBorder="1" applyAlignment="1" applyProtection="1">
      <alignment horizontal="right"/>
      <protection hidden="1"/>
    </xf>
    <xf numFmtId="3" fontId="2" fillId="0" borderId="1" xfId="0" applyNumberFormat="1" applyFont="1" applyBorder="1" applyAlignment="1" applyProtection="1">
      <alignment horizontal="right" wrapText="1"/>
      <protection hidden="1"/>
    </xf>
    <xf numFmtId="4" fontId="2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hidden="1"/>
    </xf>
    <xf numFmtId="0" fontId="2" fillId="0" borderId="1" xfId="0" applyFont="1" applyBorder="1" applyProtection="1">
      <protection hidden="1"/>
    </xf>
    <xf numFmtId="4" fontId="8" fillId="3" borderId="1" xfId="0" applyNumberFormat="1" applyFont="1" applyFill="1" applyBorder="1" applyAlignment="1" applyProtection="1">
      <protection hidden="1"/>
    </xf>
    <xf numFmtId="3" fontId="2" fillId="0" borderId="1" xfId="0" applyNumberFormat="1" applyFont="1" applyFill="1" applyBorder="1" applyAlignment="1" applyProtection="1">
      <alignment wrapText="1"/>
      <protection locked="0"/>
    </xf>
    <xf numFmtId="3" fontId="2" fillId="0" borderId="1" xfId="0" applyNumberFormat="1" applyFont="1" applyFill="1" applyBorder="1" applyAlignment="1" applyProtection="1">
      <protection locked="0"/>
    </xf>
    <xf numFmtId="0" fontId="2" fillId="0" borderId="4" xfId="0" applyFont="1" applyBorder="1" applyAlignment="1">
      <alignment horizontal="center" vertical="center"/>
    </xf>
    <xf numFmtId="4" fontId="2" fillId="0" borderId="1" xfId="0" applyNumberFormat="1" applyFont="1" applyFill="1" applyBorder="1" applyAlignment="1" applyProtection="1">
      <alignment vertical="center"/>
      <protection locked="0" hidden="1"/>
    </xf>
    <xf numFmtId="3" fontId="2" fillId="0" borderId="1" xfId="0" applyNumberFormat="1" applyFont="1" applyFill="1" applyBorder="1" applyAlignment="1" applyProtection="1">
      <alignment vertical="center"/>
      <protection locked="0" hidden="1"/>
    </xf>
    <xf numFmtId="0" fontId="9" fillId="0" borderId="0" xfId="0" applyFont="1"/>
    <xf numFmtId="169" fontId="9" fillId="0" borderId="0" xfId="0" applyNumberFormat="1" applyFont="1"/>
    <xf numFmtId="4" fontId="2" fillId="0" borderId="1" xfId="0" applyNumberFormat="1" applyFont="1" applyFill="1" applyBorder="1" applyAlignment="1" applyProtection="1">
      <alignment horizontal="right"/>
      <protection hidden="1"/>
    </xf>
    <xf numFmtId="4" fontId="8" fillId="3" borderId="1" xfId="0" applyNumberFormat="1" applyFont="1" applyFill="1" applyBorder="1" applyAlignment="1" applyProtection="1">
      <alignment horizontal="right"/>
    </xf>
    <xf numFmtId="3" fontId="8" fillId="3" borderId="1" xfId="0" applyNumberFormat="1" applyFont="1" applyFill="1" applyBorder="1" applyAlignment="1" applyProtection="1">
      <alignment horizontal="right" vertical="center" wrapText="1"/>
      <protection hidden="1"/>
    </xf>
    <xf numFmtId="4" fontId="8" fillId="3" borderId="1" xfId="0" applyNumberFormat="1" applyFont="1" applyFill="1" applyBorder="1" applyProtection="1">
      <protection hidden="1"/>
    </xf>
    <xf numFmtId="3" fontId="8" fillId="3" borderId="1" xfId="0" applyNumberFormat="1" applyFont="1" applyFill="1" applyBorder="1" applyAlignment="1" applyProtection="1">
      <alignment vertical="center"/>
      <protection hidden="1"/>
    </xf>
    <xf numFmtId="3" fontId="8" fillId="3" borderId="1" xfId="0" applyNumberFormat="1" applyFont="1" applyFill="1" applyBorder="1" applyAlignment="1" applyProtection="1">
      <protection hidden="1"/>
    </xf>
    <xf numFmtId="3" fontId="8" fillId="3" borderId="1" xfId="0" applyNumberFormat="1" applyFont="1" applyFill="1" applyBorder="1" applyAlignment="1" applyProtection="1">
      <alignment horizontal="right"/>
    </xf>
    <xf numFmtId="3" fontId="8" fillId="3" borderId="1" xfId="0" applyNumberFormat="1" applyFont="1" applyFill="1" applyBorder="1" applyProtection="1">
      <protection hidden="1"/>
    </xf>
    <xf numFmtId="0" fontId="10" fillId="2" borderId="0" xfId="0" applyFont="1" applyFill="1" applyProtection="1">
      <protection locked="0"/>
    </xf>
    <xf numFmtId="0" fontId="10" fillId="2" borderId="0" xfId="0" applyFont="1" applyFill="1"/>
    <xf numFmtId="1" fontId="10" fillId="2" borderId="0" xfId="0" applyNumberFormat="1" applyFont="1" applyFill="1"/>
    <xf numFmtId="0" fontId="1" fillId="0" borderId="1" xfId="0" applyFont="1" applyFill="1" applyBorder="1" applyAlignment="1" applyProtection="1">
      <alignment horizontal="left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Protection="1">
      <protection hidden="1"/>
    </xf>
    <xf numFmtId="49" fontId="2" fillId="0" borderId="1" xfId="0" quotePrefix="1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Protection="1">
      <protection hidden="1"/>
    </xf>
    <xf numFmtId="0" fontId="2" fillId="0" borderId="1" xfId="0" quotePrefix="1" applyFont="1" applyFill="1" applyBorder="1" applyProtection="1"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49" fontId="1" fillId="0" borderId="1" xfId="0" applyNumberFormat="1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164" fontId="2" fillId="0" borderId="1" xfId="0" applyNumberFormat="1" applyFont="1" applyFill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9" fillId="0" borderId="1" xfId="0" applyFont="1" applyFill="1" applyBorder="1" applyAlignment="1" applyProtection="1">
      <alignment horizontal="left"/>
      <protection hidden="1"/>
    </xf>
    <xf numFmtId="0" fontId="2" fillId="0" borderId="1" xfId="0" quotePrefix="1" applyFont="1" applyFill="1" applyBorder="1" applyAlignment="1" applyProtection="1">
      <alignment horizontal="left"/>
      <protection hidden="1"/>
    </xf>
    <xf numFmtId="0" fontId="9" fillId="0" borderId="1" xfId="0" quotePrefix="1" applyFont="1" applyFill="1" applyBorder="1" applyAlignment="1" applyProtection="1">
      <alignment horizontal="left"/>
      <protection hidden="1"/>
    </xf>
    <xf numFmtId="4" fontId="2" fillId="0" borderId="1" xfId="0" applyNumberFormat="1" applyFont="1" applyFill="1" applyBorder="1" applyAlignment="1" applyProtection="1">
      <protection hidden="1"/>
    </xf>
    <xf numFmtId="0" fontId="2" fillId="0" borderId="1" xfId="0" applyFont="1" applyFill="1" applyBorder="1" applyAlignment="1" applyProtection="1">
      <alignment horizontal="left" vertical="center"/>
      <protection hidden="1"/>
    </xf>
    <xf numFmtId="49" fontId="2" fillId="0" borderId="1" xfId="0" applyNumberFormat="1" applyFont="1" applyBorder="1" applyProtection="1">
      <protection hidden="1"/>
    </xf>
    <xf numFmtId="49" fontId="2" fillId="0" borderId="1" xfId="0" quotePrefix="1" applyNumberFormat="1" applyFont="1" applyBorder="1" applyAlignment="1" applyProtection="1">
      <alignment horizontal="center"/>
      <protection hidden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13" xfId="0" applyFont="1" applyFill="1" applyBorder="1" applyAlignment="1" applyProtection="1">
      <alignment horizontal="center" vertical="center"/>
      <protection hidden="1"/>
    </xf>
    <xf numFmtId="0" fontId="1" fillId="0" borderId="14" xfId="0" applyFont="1" applyFill="1" applyBorder="1" applyAlignment="1" applyProtection="1">
      <alignment horizontal="center" vertical="center"/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15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/>
      <protection hidden="1"/>
    </xf>
    <xf numFmtId="0" fontId="1" fillId="0" borderId="12" xfId="0" applyFont="1" applyBorder="1" applyAlignment="1">
      <alignment horizontal="center" vertical="center" wrapText="1"/>
    </xf>
    <xf numFmtId="169" fontId="1" fillId="0" borderId="9" xfId="0" applyNumberFormat="1" applyFont="1" applyFill="1" applyBorder="1" applyAlignment="1" applyProtection="1">
      <alignment horizontal="center" vertical="center"/>
      <protection hidden="1"/>
    </xf>
    <xf numFmtId="169" fontId="1" fillId="0" borderId="5" xfId="0" applyNumberFormat="1" applyFont="1" applyFill="1" applyBorder="1" applyAlignment="1" applyProtection="1">
      <alignment horizontal="center" vertical="center"/>
      <protection hidden="1"/>
    </xf>
    <xf numFmtId="169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/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8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169" fontId="1" fillId="0" borderId="1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48"/>
  <sheetViews>
    <sheetView zoomScaleNormal="100" zoomScaleSheetLayoutView="75" workbookViewId="0">
      <pane xSplit="8" ySplit="9" topLeftCell="I25" activePane="bottomRight" state="frozen"/>
      <selection pane="topRight" activeCell="I1" sqref="I1"/>
      <selection pane="bottomLeft" activeCell="A10" sqref="A10"/>
      <selection pane="bottomRight" sqref="A1:AW1"/>
    </sheetView>
  </sheetViews>
  <sheetFormatPr defaultRowHeight="11.25" x14ac:dyDescent="0.2"/>
  <cols>
    <col min="1" max="1" width="2.5703125" style="1" customWidth="1"/>
    <col min="2" max="2" width="3.28515625" style="1" customWidth="1"/>
    <col min="3" max="3" width="2.85546875" style="1" customWidth="1"/>
    <col min="4" max="4" width="2.5703125" style="1" customWidth="1"/>
    <col min="5" max="5" width="2.5703125" style="1" hidden="1" customWidth="1"/>
    <col min="6" max="6" width="32.140625" style="1" customWidth="1"/>
    <col min="7" max="7" width="16.7109375" style="1" customWidth="1"/>
    <col min="8" max="8" width="16.5703125" style="1" hidden="1" customWidth="1"/>
    <col min="9" max="13" width="17.7109375" style="1" customWidth="1"/>
    <col min="14" max="15" width="17.7109375" style="1" hidden="1" customWidth="1"/>
    <col min="16" max="21" width="17.7109375" style="1" customWidth="1"/>
    <col min="22" max="23" width="17.7109375" style="1" hidden="1" customWidth="1"/>
    <col min="24" max="29" width="17.7109375" style="1" customWidth="1"/>
    <col min="30" max="31" width="17.7109375" style="1" hidden="1" customWidth="1"/>
    <col min="32" max="37" width="17.7109375" style="1" customWidth="1"/>
    <col min="38" max="39" width="17.7109375" style="1" hidden="1" customWidth="1"/>
    <col min="40" max="45" width="17.7109375" style="1" customWidth="1"/>
    <col min="46" max="47" width="17.7109375" style="1" hidden="1" customWidth="1"/>
    <col min="48" max="49" width="17.7109375" style="1" customWidth="1"/>
    <col min="50" max="16384" width="9.140625" style="1"/>
  </cols>
  <sheetData>
    <row r="1" spans="1:49" ht="12.75" x14ac:dyDescent="0.2">
      <c r="A1" s="119" t="s">
        <v>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</row>
    <row r="2" spans="1:49" ht="12.75" x14ac:dyDescent="0.2">
      <c r="A2" s="119" t="s">
        <v>1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</row>
    <row r="3" spans="1:49" x14ac:dyDescent="0.2">
      <c r="A3" s="133"/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</row>
    <row r="4" spans="1:49" hidden="1" x14ac:dyDescent="0.2">
      <c r="A4" s="133"/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  <c r="AQ4" s="133"/>
      <c r="AR4" s="133"/>
      <c r="AS4" s="133"/>
      <c r="AT4" s="133"/>
      <c r="AU4" s="133"/>
      <c r="AV4" s="133"/>
      <c r="AW4" s="133"/>
    </row>
    <row r="5" spans="1:49" hidden="1" x14ac:dyDescent="0.2">
      <c r="A5" s="133"/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</row>
    <row r="6" spans="1:49" hidden="1" x14ac:dyDescent="0.2">
      <c r="A6" s="133"/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  <c r="AC6" s="133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</row>
    <row r="7" spans="1:49" ht="11.25" customHeight="1" x14ac:dyDescent="0.2">
      <c r="A7" s="120" t="s">
        <v>2</v>
      </c>
      <c r="B7" s="121"/>
      <c r="C7" s="121"/>
      <c r="D7" s="121"/>
      <c r="E7" s="121"/>
      <c r="F7" s="122"/>
      <c r="G7" s="130" t="s">
        <v>4</v>
      </c>
      <c r="H7" s="19"/>
      <c r="I7" s="113" t="s">
        <v>5</v>
      </c>
      <c r="J7" s="129"/>
      <c r="K7" s="129"/>
      <c r="L7" s="129"/>
      <c r="M7" s="129"/>
      <c r="N7" s="129"/>
      <c r="O7" s="129"/>
      <c r="P7" s="114"/>
      <c r="Q7" s="113" t="s">
        <v>6</v>
      </c>
      <c r="R7" s="129"/>
      <c r="S7" s="129"/>
      <c r="T7" s="129"/>
      <c r="U7" s="129"/>
      <c r="V7" s="129"/>
      <c r="W7" s="129"/>
      <c r="X7" s="114"/>
      <c r="Y7" s="113" t="s">
        <v>7</v>
      </c>
      <c r="Z7" s="129"/>
      <c r="AA7" s="129"/>
      <c r="AB7" s="129"/>
      <c r="AC7" s="129"/>
      <c r="AD7" s="129"/>
      <c r="AE7" s="129"/>
      <c r="AF7" s="114"/>
      <c r="AG7" s="113" t="s">
        <v>8</v>
      </c>
      <c r="AH7" s="129"/>
      <c r="AI7" s="129"/>
      <c r="AJ7" s="129"/>
      <c r="AK7" s="129"/>
      <c r="AL7" s="129"/>
      <c r="AM7" s="129"/>
      <c r="AN7" s="114"/>
      <c r="AO7" s="113" t="s">
        <v>9</v>
      </c>
      <c r="AP7" s="129"/>
      <c r="AQ7" s="129"/>
      <c r="AR7" s="129"/>
      <c r="AS7" s="129"/>
      <c r="AT7" s="129"/>
      <c r="AU7" s="129"/>
      <c r="AV7" s="114"/>
      <c r="AW7" s="116" t="s">
        <v>10</v>
      </c>
    </row>
    <row r="8" spans="1:49" ht="11.25" customHeight="1" x14ac:dyDescent="0.2">
      <c r="A8" s="123"/>
      <c r="B8" s="124"/>
      <c r="C8" s="124"/>
      <c r="D8" s="124"/>
      <c r="E8" s="124"/>
      <c r="F8" s="125"/>
      <c r="G8" s="131"/>
      <c r="H8" s="14"/>
      <c r="I8" s="116" t="s">
        <v>11</v>
      </c>
      <c r="J8" s="113" t="s">
        <v>140</v>
      </c>
      <c r="K8" s="114"/>
      <c r="L8" s="113" t="s">
        <v>12</v>
      </c>
      <c r="M8" s="114"/>
      <c r="N8" s="115" t="s">
        <v>139</v>
      </c>
      <c r="O8" s="115"/>
      <c r="P8" s="116" t="s">
        <v>13</v>
      </c>
      <c r="Q8" s="116" t="s">
        <v>11</v>
      </c>
      <c r="R8" s="113" t="s">
        <v>140</v>
      </c>
      <c r="S8" s="114"/>
      <c r="T8" s="113" t="s">
        <v>12</v>
      </c>
      <c r="U8" s="114"/>
      <c r="V8" s="115" t="s">
        <v>139</v>
      </c>
      <c r="W8" s="115"/>
      <c r="X8" s="116" t="s">
        <v>13</v>
      </c>
      <c r="Y8" s="116" t="s">
        <v>11</v>
      </c>
      <c r="Z8" s="113" t="s">
        <v>140</v>
      </c>
      <c r="AA8" s="114"/>
      <c r="AB8" s="113" t="s">
        <v>12</v>
      </c>
      <c r="AC8" s="114"/>
      <c r="AD8" s="115" t="s">
        <v>139</v>
      </c>
      <c r="AE8" s="115"/>
      <c r="AF8" s="116" t="s">
        <v>13</v>
      </c>
      <c r="AG8" s="116" t="s">
        <v>11</v>
      </c>
      <c r="AH8" s="113" t="s">
        <v>140</v>
      </c>
      <c r="AI8" s="114"/>
      <c r="AJ8" s="113" t="s">
        <v>12</v>
      </c>
      <c r="AK8" s="114"/>
      <c r="AL8" s="115" t="s">
        <v>139</v>
      </c>
      <c r="AM8" s="115"/>
      <c r="AN8" s="116" t="s">
        <v>13</v>
      </c>
      <c r="AO8" s="117" t="s">
        <v>11</v>
      </c>
      <c r="AP8" s="111" t="s">
        <v>140</v>
      </c>
      <c r="AQ8" s="112"/>
      <c r="AR8" s="111" t="s">
        <v>12</v>
      </c>
      <c r="AS8" s="112"/>
      <c r="AT8" s="115" t="s">
        <v>139</v>
      </c>
      <c r="AU8" s="115"/>
      <c r="AV8" s="116" t="s">
        <v>13</v>
      </c>
      <c r="AW8" s="117"/>
    </row>
    <row r="9" spans="1:49" ht="11.25" customHeight="1" x14ac:dyDescent="0.2">
      <c r="A9" s="126"/>
      <c r="B9" s="127"/>
      <c r="C9" s="127"/>
      <c r="D9" s="127"/>
      <c r="E9" s="127"/>
      <c r="F9" s="128"/>
      <c r="G9" s="132"/>
      <c r="H9" s="15"/>
      <c r="I9" s="118"/>
      <c r="J9" s="2" t="s">
        <v>14</v>
      </c>
      <c r="K9" s="3" t="s">
        <v>15</v>
      </c>
      <c r="L9" s="2" t="s">
        <v>14</v>
      </c>
      <c r="M9" s="3" t="s">
        <v>15</v>
      </c>
      <c r="N9" s="2" t="s">
        <v>14</v>
      </c>
      <c r="O9" s="2" t="s">
        <v>15</v>
      </c>
      <c r="P9" s="118"/>
      <c r="Q9" s="118"/>
      <c r="R9" s="2" t="s">
        <v>14</v>
      </c>
      <c r="S9" s="3" t="s">
        <v>15</v>
      </c>
      <c r="T9" s="2" t="s">
        <v>14</v>
      </c>
      <c r="U9" s="3" t="s">
        <v>15</v>
      </c>
      <c r="V9" s="2" t="s">
        <v>14</v>
      </c>
      <c r="W9" s="2" t="s">
        <v>15</v>
      </c>
      <c r="X9" s="118"/>
      <c r="Y9" s="118"/>
      <c r="Z9" s="2" t="s">
        <v>14</v>
      </c>
      <c r="AA9" s="3" t="s">
        <v>15</v>
      </c>
      <c r="AB9" s="2" t="s">
        <v>14</v>
      </c>
      <c r="AC9" s="3" t="s">
        <v>15</v>
      </c>
      <c r="AD9" s="2" t="s">
        <v>14</v>
      </c>
      <c r="AE9" s="2" t="s">
        <v>15</v>
      </c>
      <c r="AF9" s="118"/>
      <c r="AG9" s="118"/>
      <c r="AH9" s="2" t="s">
        <v>14</v>
      </c>
      <c r="AI9" s="3" t="s">
        <v>15</v>
      </c>
      <c r="AJ9" s="2" t="s">
        <v>14</v>
      </c>
      <c r="AK9" s="3" t="s">
        <v>15</v>
      </c>
      <c r="AL9" s="2" t="s">
        <v>14</v>
      </c>
      <c r="AM9" s="2" t="s">
        <v>15</v>
      </c>
      <c r="AN9" s="118"/>
      <c r="AO9" s="118"/>
      <c r="AP9" s="2" t="s">
        <v>14</v>
      </c>
      <c r="AQ9" s="3" t="s">
        <v>15</v>
      </c>
      <c r="AR9" s="2" t="s">
        <v>14</v>
      </c>
      <c r="AS9" s="3" t="s">
        <v>15</v>
      </c>
      <c r="AT9" s="2" t="s">
        <v>14</v>
      </c>
      <c r="AU9" s="2" t="s">
        <v>15</v>
      </c>
      <c r="AV9" s="118"/>
      <c r="AW9" s="118"/>
    </row>
    <row r="10" spans="1:49" ht="11.25" customHeight="1" x14ac:dyDescent="0.2">
      <c r="A10" s="85" t="s">
        <v>16</v>
      </c>
      <c r="B10" s="85" t="s">
        <v>3</v>
      </c>
      <c r="C10" s="86"/>
      <c r="D10" s="86"/>
      <c r="E10" s="86"/>
      <c r="F10" s="86"/>
      <c r="G10" s="87" t="s">
        <v>86</v>
      </c>
      <c r="H10" s="28"/>
      <c r="I10" s="29">
        <f xml:space="preserve"> (I11 + I18 + I23 + I26 + I27)</f>
        <v>0</v>
      </c>
      <c r="J10" s="30"/>
      <c r="K10" s="30"/>
      <c r="L10" s="61">
        <f xml:space="preserve"> (L11 + L18 + L23 + L26 + L27)</f>
        <v>0</v>
      </c>
      <c r="M10" s="61">
        <f xml:space="preserve"> (M11 + M18 + M23 + M26 + M27)</f>
        <v>0</v>
      </c>
      <c r="N10" s="29">
        <f xml:space="preserve"> (N11 + N18 + N23 + N26 + N27)</f>
        <v>0</v>
      </c>
      <c r="O10" s="29">
        <f xml:space="preserve"> (O11 + O18 + O23 + O26 + O27)</f>
        <v>0</v>
      </c>
      <c r="P10" s="29">
        <f>I10+M10+O10</f>
        <v>0</v>
      </c>
      <c r="Q10" s="29">
        <f xml:space="preserve"> (Q11 + Q18 + Q23 + Q26 + Q27)</f>
        <v>0</v>
      </c>
      <c r="R10" s="30"/>
      <c r="S10" s="30"/>
      <c r="T10" s="61">
        <f xml:space="preserve"> (T11 + T18 + T23 + T26 + T27)</f>
        <v>0</v>
      </c>
      <c r="U10" s="61">
        <f xml:space="preserve"> (U11 + U18 + U23 + U26 + U27)</f>
        <v>0</v>
      </c>
      <c r="V10" s="29">
        <f xml:space="preserve"> (V11 + V18 + V23 + V26 + V27)</f>
        <v>0</v>
      </c>
      <c r="W10" s="29">
        <f xml:space="preserve"> (W11 + W18 + W23 + W26 + W27)</f>
        <v>0</v>
      </c>
      <c r="X10" s="29">
        <f>Q10+U10+W10</f>
        <v>0</v>
      </c>
      <c r="Y10" s="29">
        <f xml:space="preserve"> (Y11 + Y18 + Y23 + Y26 + Y27)</f>
        <v>0</v>
      </c>
      <c r="Z10" s="30"/>
      <c r="AA10" s="30"/>
      <c r="AB10" s="61">
        <f xml:space="preserve"> (AB11 + AB18 + AB23 + AB26 + AB27)</f>
        <v>0</v>
      </c>
      <c r="AC10" s="61">
        <f xml:space="preserve"> (AC11 + AC18 + AC23 + AC26 + AC27)</f>
        <v>0</v>
      </c>
      <c r="AD10" s="29">
        <f xml:space="preserve"> (AD11 + AD18 + AD23 + AD26 + AD27)</f>
        <v>0</v>
      </c>
      <c r="AE10" s="29">
        <f xml:space="preserve"> (AE11 + AE18 + AE23 + AE26 + AE27)</f>
        <v>0</v>
      </c>
      <c r="AF10" s="29">
        <f>Y10+AC10+AE10</f>
        <v>0</v>
      </c>
      <c r="AG10" s="29">
        <f xml:space="preserve"> (AG11 + AG18 + AG23 + AG26 + AG27)</f>
        <v>0</v>
      </c>
      <c r="AH10" s="30"/>
      <c r="AI10" s="30"/>
      <c r="AJ10" s="61">
        <f xml:space="preserve"> (AJ11 + AJ18 + AJ23 + AJ26 + AJ27)</f>
        <v>0</v>
      </c>
      <c r="AK10" s="61">
        <f xml:space="preserve"> (AK11 + AK18 + AK23 + AK26 + AK27)</f>
        <v>0</v>
      </c>
      <c r="AL10" s="29">
        <f xml:space="preserve"> (AL11 + AL18 + AL23 + AL26 + AL27)</f>
        <v>0</v>
      </c>
      <c r="AM10" s="29">
        <f xml:space="preserve"> (AM11 + AM18 + AM23 + AM26 + AM27)</f>
        <v>0</v>
      </c>
      <c r="AN10" s="29">
        <f>AG10+AK10+AM10</f>
        <v>0</v>
      </c>
      <c r="AO10" s="29">
        <f xml:space="preserve"> (AO11 + AO18 + AO23 + AO26 + AO27)</f>
        <v>0</v>
      </c>
      <c r="AP10" s="30"/>
      <c r="AQ10" s="30"/>
      <c r="AR10" s="30"/>
      <c r="AS10" s="30"/>
      <c r="AT10" s="58">
        <f xml:space="preserve"> (AT11 + AT18 + AT23 + AT26 + AT27)</f>
        <v>0</v>
      </c>
      <c r="AU10" s="58">
        <f xml:space="preserve"> (AU11 + AU18 + AU23 + AU26 + AU27)</f>
        <v>0</v>
      </c>
      <c r="AV10" s="29">
        <f>AO10+AS10+AU10</f>
        <v>0</v>
      </c>
      <c r="AW10" s="29">
        <f>P10+X10+AF10+AN10+AV10</f>
        <v>0</v>
      </c>
    </row>
    <row r="11" spans="1:49" ht="11.25" customHeight="1" x14ac:dyDescent="0.2">
      <c r="A11" s="88"/>
      <c r="B11" s="89" t="s">
        <v>17</v>
      </c>
      <c r="C11" s="88" t="s">
        <v>18</v>
      </c>
      <c r="D11" s="88"/>
      <c r="E11" s="88"/>
      <c r="F11" s="88"/>
      <c r="G11" s="90" t="s">
        <v>87</v>
      </c>
      <c r="H11" s="4"/>
      <c r="I11" s="29">
        <f xml:space="preserve"> (I12 + I13 + I14)</f>
        <v>0</v>
      </c>
      <c r="J11" s="30"/>
      <c r="K11" s="30"/>
      <c r="L11" s="61">
        <f xml:space="preserve"> (L12 + L13 + L14)</f>
        <v>0</v>
      </c>
      <c r="M11" s="61">
        <f xml:space="preserve"> (M12 + M13 + M14)</f>
        <v>0</v>
      </c>
      <c r="N11" s="29">
        <f xml:space="preserve"> (N12 + N13 + N14)</f>
        <v>0</v>
      </c>
      <c r="O11" s="29">
        <f xml:space="preserve"> (O12 + O13 + O14)</f>
        <v>0</v>
      </c>
      <c r="P11" s="29">
        <f t="shared" ref="P11:P47" si="0">I11+M11+O11</f>
        <v>0</v>
      </c>
      <c r="Q11" s="29">
        <f xml:space="preserve"> (Q12 + Q13 + Q14)</f>
        <v>0</v>
      </c>
      <c r="R11" s="30"/>
      <c r="S11" s="30"/>
      <c r="T11" s="61">
        <f xml:space="preserve"> (T12 + T13 + T14)</f>
        <v>0</v>
      </c>
      <c r="U11" s="61">
        <f xml:space="preserve"> (U12 + U13 + U14)</f>
        <v>0</v>
      </c>
      <c r="V11" s="29">
        <f xml:space="preserve"> (V12 + V13 + V14)</f>
        <v>0</v>
      </c>
      <c r="W11" s="29">
        <f xml:space="preserve"> (W12 + W13 + W14)</f>
        <v>0</v>
      </c>
      <c r="X11" s="29">
        <f t="shared" ref="X11:X47" si="1">Q11+U11+W11</f>
        <v>0</v>
      </c>
      <c r="Y11" s="29">
        <f xml:space="preserve"> (Y12 + Y13 + Y14)</f>
        <v>0</v>
      </c>
      <c r="Z11" s="30"/>
      <c r="AA11" s="30"/>
      <c r="AB11" s="61">
        <f xml:space="preserve"> (AB12 + AB13 + AB14)</f>
        <v>0</v>
      </c>
      <c r="AC11" s="61">
        <f xml:space="preserve"> (AC12 + AC13 + AC14)</f>
        <v>0</v>
      </c>
      <c r="AD11" s="29">
        <f xml:space="preserve"> (AD12 + AD13 + AD14)</f>
        <v>0</v>
      </c>
      <c r="AE11" s="29">
        <f xml:space="preserve"> (AE12 + AE13 + AE14)</f>
        <v>0</v>
      </c>
      <c r="AF11" s="29">
        <f t="shared" ref="AF11:AF47" si="2">Y11+AC11+AE11</f>
        <v>0</v>
      </c>
      <c r="AG11" s="29">
        <f xml:space="preserve"> (AG12 + AG13 + AG14)</f>
        <v>0</v>
      </c>
      <c r="AH11" s="30"/>
      <c r="AI11" s="30"/>
      <c r="AJ11" s="61">
        <f xml:space="preserve"> (AJ12 + AJ13 + AJ14)</f>
        <v>0</v>
      </c>
      <c r="AK11" s="61">
        <f xml:space="preserve"> (AK12 + AK13 + AK14)</f>
        <v>0</v>
      </c>
      <c r="AL11" s="29">
        <f xml:space="preserve"> (AL12 + AL13 + AL14)</f>
        <v>0</v>
      </c>
      <c r="AM11" s="29">
        <f xml:space="preserve"> (AM12 + AM13 + AM14)</f>
        <v>0</v>
      </c>
      <c r="AN11" s="29">
        <f t="shared" ref="AN11:AN47" si="3">AG11+AK11+AM11</f>
        <v>0</v>
      </c>
      <c r="AO11" s="29">
        <f xml:space="preserve"> (AO12 + AO13 + AO14)</f>
        <v>0</v>
      </c>
      <c r="AP11" s="30"/>
      <c r="AQ11" s="30"/>
      <c r="AR11" s="30"/>
      <c r="AS11" s="30"/>
      <c r="AT11" s="58">
        <f xml:space="preserve"> (AT12 + AT13 + AT14)</f>
        <v>0</v>
      </c>
      <c r="AU11" s="58">
        <f xml:space="preserve"> (AU12 + AU13 + AU14)</f>
        <v>0</v>
      </c>
      <c r="AV11" s="29">
        <f t="shared" ref="AV11:AV47" si="4">AO11+AS11+AU11</f>
        <v>0</v>
      </c>
      <c r="AW11" s="29">
        <f t="shared" ref="AW11:AW47" si="5">P11+X11+AF11+AN11+AV11</f>
        <v>0</v>
      </c>
    </row>
    <row r="12" spans="1:49" ht="11.25" customHeight="1" x14ac:dyDescent="0.2">
      <c r="A12" s="88"/>
      <c r="B12" s="88"/>
      <c r="C12" s="91" t="s">
        <v>19</v>
      </c>
      <c r="D12" s="88" t="s">
        <v>20</v>
      </c>
      <c r="E12" s="88"/>
      <c r="F12" s="88"/>
      <c r="G12" s="90" t="s">
        <v>88</v>
      </c>
      <c r="H12" s="4"/>
      <c r="I12" s="36"/>
      <c r="J12" s="34"/>
      <c r="K12" s="34"/>
      <c r="L12" s="75"/>
      <c r="M12" s="75"/>
      <c r="N12" s="36"/>
      <c r="O12" s="36"/>
      <c r="P12" s="29">
        <f t="shared" si="0"/>
        <v>0</v>
      </c>
      <c r="Q12" s="36"/>
      <c r="R12" s="34"/>
      <c r="S12" s="34"/>
      <c r="T12" s="61"/>
      <c r="U12" s="61"/>
      <c r="V12" s="36"/>
      <c r="W12" s="36"/>
      <c r="X12" s="29">
        <f t="shared" si="1"/>
        <v>0</v>
      </c>
      <c r="Y12" s="36"/>
      <c r="Z12" s="34"/>
      <c r="AA12" s="34"/>
      <c r="AB12" s="61"/>
      <c r="AC12" s="61"/>
      <c r="AD12" s="36"/>
      <c r="AE12" s="36"/>
      <c r="AF12" s="29">
        <f t="shared" si="2"/>
        <v>0</v>
      </c>
      <c r="AG12" s="36"/>
      <c r="AH12" s="34"/>
      <c r="AI12" s="34"/>
      <c r="AJ12" s="61"/>
      <c r="AK12" s="61"/>
      <c r="AL12" s="36"/>
      <c r="AM12" s="36"/>
      <c r="AN12" s="29">
        <f t="shared" si="3"/>
        <v>0</v>
      </c>
      <c r="AO12" s="36"/>
      <c r="AP12" s="34"/>
      <c r="AQ12" s="34"/>
      <c r="AR12" s="32"/>
      <c r="AS12" s="32"/>
      <c r="AT12" s="57"/>
      <c r="AU12" s="57"/>
      <c r="AV12" s="29">
        <f t="shared" si="4"/>
        <v>0</v>
      </c>
      <c r="AW12" s="29">
        <f t="shared" si="5"/>
        <v>0</v>
      </c>
    </row>
    <row r="13" spans="1:49" ht="11.25" customHeight="1" x14ac:dyDescent="0.2">
      <c r="A13" s="88"/>
      <c r="B13" s="88"/>
      <c r="C13" s="91" t="s">
        <v>21</v>
      </c>
      <c r="D13" s="88" t="s">
        <v>22</v>
      </c>
      <c r="E13" s="88"/>
      <c r="F13" s="88"/>
      <c r="G13" s="90" t="s">
        <v>89</v>
      </c>
      <c r="H13" s="4"/>
      <c r="I13" s="36"/>
      <c r="J13" s="34"/>
      <c r="K13" s="34"/>
      <c r="L13" s="75"/>
      <c r="M13" s="75"/>
      <c r="N13" s="36"/>
      <c r="O13" s="36"/>
      <c r="P13" s="29">
        <f t="shared" si="0"/>
        <v>0</v>
      </c>
      <c r="Q13" s="36"/>
      <c r="R13" s="34"/>
      <c r="S13" s="34"/>
      <c r="T13" s="61"/>
      <c r="U13" s="61"/>
      <c r="V13" s="36"/>
      <c r="W13" s="36"/>
      <c r="X13" s="29">
        <f t="shared" si="1"/>
        <v>0</v>
      </c>
      <c r="Y13" s="36"/>
      <c r="Z13" s="34"/>
      <c r="AA13" s="34"/>
      <c r="AB13" s="61"/>
      <c r="AC13" s="61"/>
      <c r="AD13" s="36"/>
      <c r="AE13" s="36"/>
      <c r="AF13" s="29">
        <f t="shared" si="2"/>
        <v>0</v>
      </c>
      <c r="AG13" s="36"/>
      <c r="AH13" s="34"/>
      <c r="AI13" s="34"/>
      <c r="AJ13" s="61"/>
      <c r="AK13" s="61"/>
      <c r="AL13" s="36"/>
      <c r="AM13" s="36"/>
      <c r="AN13" s="29">
        <f t="shared" si="3"/>
        <v>0</v>
      </c>
      <c r="AO13" s="36"/>
      <c r="AP13" s="34"/>
      <c r="AQ13" s="34"/>
      <c r="AR13" s="32"/>
      <c r="AS13" s="32"/>
      <c r="AT13" s="57"/>
      <c r="AU13" s="57"/>
      <c r="AV13" s="29">
        <f t="shared" si="4"/>
        <v>0</v>
      </c>
      <c r="AW13" s="29">
        <f t="shared" si="5"/>
        <v>0</v>
      </c>
    </row>
    <row r="14" spans="1:49" ht="11.25" customHeight="1" x14ac:dyDescent="0.2">
      <c r="A14" s="88"/>
      <c r="B14" s="88"/>
      <c r="C14" s="91" t="s">
        <v>23</v>
      </c>
      <c r="D14" s="88" t="s">
        <v>24</v>
      </c>
      <c r="E14" s="88"/>
      <c r="F14" s="88"/>
      <c r="G14" s="90" t="s">
        <v>90</v>
      </c>
      <c r="H14" s="4"/>
      <c r="I14" s="29">
        <f xml:space="preserve"> (I15 + I16 + I17)</f>
        <v>0</v>
      </c>
      <c r="J14" s="30"/>
      <c r="K14" s="30"/>
      <c r="L14" s="61">
        <f xml:space="preserve"> (L15 + L16 + L17)</f>
        <v>0</v>
      </c>
      <c r="M14" s="61">
        <f xml:space="preserve"> (M15 + M16 + M17)</f>
        <v>0</v>
      </c>
      <c r="N14" s="29">
        <f xml:space="preserve"> (N15 + N16 + N17)</f>
        <v>0</v>
      </c>
      <c r="O14" s="29">
        <f xml:space="preserve"> (O15 + O16 + O17)</f>
        <v>0</v>
      </c>
      <c r="P14" s="29">
        <f t="shared" si="0"/>
        <v>0</v>
      </c>
      <c r="Q14" s="29">
        <f xml:space="preserve"> (Q15 + Q16 + Q17)</f>
        <v>0</v>
      </c>
      <c r="R14" s="30"/>
      <c r="S14" s="30"/>
      <c r="T14" s="61">
        <f xml:space="preserve"> (T15 + T16 + T17)</f>
        <v>0</v>
      </c>
      <c r="U14" s="61">
        <f xml:space="preserve"> (U15 + U16 + U17)</f>
        <v>0</v>
      </c>
      <c r="V14" s="29">
        <f xml:space="preserve"> (V15 + V16 + V17)</f>
        <v>0</v>
      </c>
      <c r="W14" s="29">
        <f xml:space="preserve"> (W15 + W16 + W17)</f>
        <v>0</v>
      </c>
      <c r="X14" s="29">
        <f t="shared" si="1"/>
        <v>0</v>
      </c>
      <c r="Y14" s="29">
        <f xml:space="preserve"> (Y15 + Y16 + Y17)</f>
        <v>0</v>
      </c>
      <c r="Z14" s="30"/>
      <c r="AA14" s="30"/>
      <c r="AB14" s="61">
        <f xml:space="preserve"> (AB15 + AB16 + AB17)</f>
        <v>0</v>
      </c>
      <c r="AC14" s="61">
        <f xml:space="preserve"> (AC15 + AC16 + AC17)</f>
        <v>0</v>
      </c>
      <c r="AD14" s="29">
        <f xml:space="preserve"> (AD15 + AD16 + AD17)</f>
        <v>0</v>
      </c>
      <c r="AE14" s="29">
        <f xml:space="preserve"> (AE15 + AE16 + AE17)</f>
        <v>0</v>
      </c>
      <c r="AF14" s="29">
        <f t="shared" si="2"/>
        <v>0</v>
      </c>
      <c r="AG14" s="29">
        <f xml:space="preserve"> (AG15 + AG16 + AG17)</f>
        <v>0</v>
      </c>
      <c r="AH14" s="30"/>
      <c r="AI14" s="30"/>
      <c r="AJ14" s="61">
        <f xml:space="preserve"> (AJ15 + AJ16 + AJ17)</f>
        <v>0</v>
      </c>
      <c r="AK14" s="61">
        <f xml:space="preserve"> (AK15 + AK16 + AK17)</f>
        <v>0</v>
      </c>
      <c r="AL14" s="29">
        <f xml:space="preserve"> (AL15 + AL16 + AL17)</f>
        <v>0</v>
      </c>
      <c r="AM14" s="29">
        <f xml:space="preserve"> (AM15 + AM16 + AM17)</f>
        <v>0</v>
      </c>
      <c r="AN14" s="29">
        <f t="shared" si="3"/>
        <v>0</v>
      </c>
      <c r="AO14" s="29">
        <f xml:space="preserve"> (AO15 + AO16 + AO17)</f>
        <v>0</v>
      </c>
      <c r="AP14" s="30"/>
      <c r="AQ14" s="30"/>
      <c r="AR14" s="30"/>
      <c r="AS14" s="30"/>
      <c r="AT14" s="58">
        <f xml:space="preserve"> (AT15 + AT16 + AT17)</f>
        <v>0</v>
      </c>
      <c r="AU14" s="58">
        <f xml:space="preserve"> (AU15 + AU16 + AU17)</f>
        <v>0</v>
      </c>
      <c r="AV14" s="29">
        <f t="shared" si="4"/>
        <v>0</v>
      </c>
      <c r="AW14" s="29">
        <f t="shared" si="5"/>
        <v>0</v>
      </c>
    </row>
    <row r="15" spans="1:49" ht="11.25" customHeight="1" x14ac:dyDescent="0.2">
      <c r="A15" s="88"/>
      <c r="B15" s="88"/>
      <c r="C15" s="91"/>
      <c r="D15" s="92" t="s">
        <v>25</v>
      </c>
      <c r="E15" s="92"/>
      <c r="F15" s="88" t="s">
        <v>26</v>
      </c>
      <c r="G15" s="90" t="s">
        <v>91</v>
      </c>
      <c r="H15" s="4"/>
      <c r="I15" s="36"/>
      <c r="J15" s="34"/>
      <c r="K15" s="34"/>
      <c r="L15" s="75"/>
      <c r="M15" s="75"/>
      <c r="N15" s="36"/>
      <c r="O15" s="36"/>
      <c r="P15" s="29">
        <f t="shared" si="0"/>
        <v>0</v>
      </c>
      <c r="Q15" s="36"/>
      <c r="R15" s="34"/>
      <c r="S15" s="34"/>
      <c r="T15" s="61"/>
      <c r="U15" s="61"/>
      <c r="V15" s="36"/>
      <c r="W15" s="36"/>
      <c r="X15" s="29">
        <f t="shared" si="1"/>
        <v>0</v>
      </c>
      <c r="Y15" s="36"/>
      <c r="Z15" s="34"/>
      <c r="AA15" s="34"/>
      <c r="AB15" s="61"/>
      <c r="AC15" s="61"/>
      <c r="AD15" s="36"/>
      <c r="AE15" s="36"/>
      <c r="AF15" s="29">
        <f t="shared" si="2"/>
        <v>0</v>
      </c>
      <c r="AG15" s="36"/>
      <c r="AH15" s="34"/>
      <c r="AI15" s="34"/>
      <c r="AJ15" s="61"/>
      <c r="AK15" s="61"/>
      <c r="AL15" s="36"/>
      <c r="AM15" s="36"/>
      <c r="AN15" s="29">
        <f t="shared" si="3"/>
        <v>0</v>
      </c>
      <c r="AO15" s="36"/>
      <c r="AP15" s="34"/>
      <c r="AQ15" s="34"/>
      <c r="AR15" s="32"/>
      <c r="AS15" s="32"/>
      <c r="AT15" s="57"/>
      <c r="AU15" s="57"/>
      <c r="AV15" s="29">
        <f t="shared" si="4"/>
        <v>0</v>
      </c>
      <c r="AW15" s="29">
        <f t="shared" si="5"/>
        <v>0</v>
      </c>
    </row>
    <row r="16" spans="1:49" ht="11.25" customHeight="1" x14ac:dyDescent="0.2">
      <c r="A16" s="88"/>
      <c r="B16" s="88"/>
      <c r="C16" s="91"/>
      <c r="D16" s="92" t="s">
        <v>27</v>
      </c>
      <c r="E16" s="92"/>
      <c r="F16" s="88" t="s">
        <v>28</v>
      </c>
      <c r="G16" s="90" t="s">
        <v>92</v>
      </c>
      <c r="H16" s="4"/>
      <c r="I16" s="36"/>
      <c r="J16" s="34"/>
      <c r="K16" s="34"/>
      <c r="L16" s="75"/>
      <c r="M16" s="75"/>
      <c r="N16" s="36"/>
      <c r="O16" s="36"/>
      <c r="P16" s="29">
        <f t="shared" si="0"/>
        <v>0</v>
      </c>
      <c r="Q16" s="36"/>
      <c r="R16" s="34"/>
      <c r="S16" s="34"/>
      <c r="T16" s="61"/>
      <c r="U16" s="61"/>
      <c r="V16" s="36"/>
      <c r="W16" s="36"/>
      <c r="X16" s="29">
        <f t="shared" si="1"/>
        <v>0</v>
      </c>
      <c r="Y16" s="36"/>
      <c r="Z16" s="34"/>
      <c r="AA16" s="34"/>
      <c r="AB16" s="61"/>
      <c r="AC16" s="61"/>
      <c r="AD16" s="36"/>
      <c r="AE16" s="36"/>
      <c r="AF16" s="29">
        <f t="shared" si="2"/>
        <v>0</v>
      </c>
      <c r="AG16" s="36"/>
      <c r="AH16" s="34"/>
      <c r="AI16" s="34"/>
      <c r="AJ16" s="61"/>
      <c r="AK16" s="61"/>
      <c r="AL16" s="36"/>
      <c r="AM16" s="36"/>
      <c r="AN16" s="29">
        <f t="shared" si="3"/>
        <v>0</v>
      </c>
      <c r="AO16" s="36"/>
      <c r="AP16" s="34"/>
      <c r="AQ16" s="34"/>
      <c r="AR16" s="32"/>
      <c r="AS16" s="32"/>
      <c r="AT16" s="57"/>
      <c r="AU16" s="57"/>
      <c r="AV16" s="29">
        <f t="shared" si="4"/>
        <v>0</v>
      </c>
      <c r="AW16" s="29">
        <f t="shared" si="5"/>
        <v>0</v>
      </c>
    </row>
    <row r="17" spans="1:49" ht="11.25" customHeight="1" x14ac:dyDescent="0.2">
      <c r="A17" s="88"/>
      <c r="B17" s="88"/>
      <c r="C17" s="91"/>
      <c r="D17" s="92" t="s">
        <v>29</v>
      </c>
      <c r="E17" s="92"/>
      <c r="F17" s="88" t="s">
        <v>30</v>
      </c>
      <c r="G17" s="90" t="s">
        <v>93</v>
      </c>
      <c r="H17" s="4"/>
      <c r="I17" s="36"/>
      <c r="J17" s="34"/>
      <c r="K17" s="34"/>
      <c r="L17" s="75"/>
      <c r="M17" s="75"/>
      <c r="N17" s="36"/>
      <c r="O17" s="36"/>
      <c r="P17" s="29">
        <f t="shared" si="0"/>
        <v>0</v>
      </c>
      <c r="Q17" s="36"/>
      <c r="R17" s="34"/>
      <c r="S17" s="34"/>
      <c r="T17" s="61"/>
      <c r="U17" s="61"/>
      <c r="V17" s="36"/>
      <c r="W17" s="36"/>
      <c r="X17" s="29">
        <f t="shared" si="1"/>
        <v>0</v>
      </c>
      <c r="Y17" s="36"/>
      <c r="Z17" s="34"/>
      <c r="AA17" s="34"/>
      <c r="AB17" s="61"/>
      <c r="AC17" s="61"/>
      <c r="AD17" s="36"/>
      <c r="AE17" s="36"/>
      <c r="AF17" s="29">
        <f t="shared" si="2"/>
        <v>0</v>
      </c>
      <c r="AG17" s="36"/>
      <c r="AH17" s="34"/>
      <c r="AI17" s="34"/>
      <c r="AJ17" s="61"/>
      <c r="AK17" s="61"/>
      <c r="AL17" s="36"/>
      <c r="AM17" s="36"/>
      <c r="AN17" s="29">
        <f t="shared" si="3"/>
        <v>0</v>
      </c>
      <c r="AO17" s="36"/>
      <c r="AP17" s="34"/>
      <c r="AQ17" s="34"/>
      <c r="AR17" s="32"/>
      <c r="AS17" s="32"/>
      <c r="AT17" s="57"/>
      <c r="AU17" s="57"/>
      <c r="AV17" s="29">
        <f t="shared" si="4"/>
        <v>0</v>
      </c>
      <c r="AW17" s="29">
        <f t="shared" si="5"/>
        <v>0</v>
      </c>
    </row>
    <row r="18" spans="1:49" ht="11.25" customHeight="1" x14ac:dyDescent="0.2">
      <c r="A18" s="88"/>
      <c r="B18" s="89" t="s">
        <v>31</v>
      </c>
      <c r="C18" s="88" t="s">
        <v>32</v>
      </c>
      <c r="D18" s="88"/>
      <c r="E18" s="88"/>
      <c r="F18" s="88"/>
      <c r="G18" s="90" t="s">
        <v>94</v>
      </c>
      <c r="H18" s="4"/>
      <c r="I18" s="29">
        <f xml:space="preserve"> (I19 + I22)</f>
        <v>0</v>
      </c>
      <c r="J18" s="30"/>
      <c r="K18" s="30"/>
      <c r="L18" s="61">
        <f xml:space="preserve"> (L19 + L22)</f>
        <v>0</v>
      </c>
      <c r="M18" s="61">
        <f xml:space="preserve"> (M19 + M22)</f>
        <v>0</v>
      </c>
      <c r="N18" s="29">
        <f xml:space="preserve"> (N19 + N22)</f>
        <v>0</v>
      </c>
      <c r="O18" s="29">
        <f xml:space="preserve"> (O19 + O22)</f>
        <v>0</v>
      </c>
      <c r="P18" s="29">
        <f t="shared" si="0"/>
        <v>0</v>
      </c>
      <c r="Q18" s="29">
        <f xml:space="preserve"> (Q19 + Q22)</f>
        <v>0</v>
      </c>
      <c r="R18" s="30"/>
      <c r="S18" s="30"/>
      <c r="T18" s="61">
        <f xml:space="preserve"> (T19 + T22)</f>
        <v>0</v>
      </c>
      <c r="U18" s="61">
        <f xml:space="preserve"> (U19 + U22)</f>
        <v>0</v>
      </c>
      <c r="V18" s="29">
        <f xml:space="preserve"> (V19 + V22)</f>
        <v>0</v>
      </c>
      <c r="W18" s="29">
        <f xml:space="preserve"> (W19 + W22)</f>
        <v>0</v>
      </c>
      <c r="X18" s="29">
        <f t="shared" si="1"/>
        <v>0</v>
      </c>
      <c r="Y18" s="29">
        <f xml:space="preserve"> (Y19 + Y22)</f>
        <v>0</v>
      </c>
      <c r="Z18" s="30"/>
      <c r="AA18" s="30"/>
      <c r="AB18" s="61">
        <f xml:space="preserve"> (AB19 + AB22)</f>
        <v>0</v>
      </c>
      <c r="AC18" s="61">
        <f xml:space="preserve"> (AC19 + AC22)</f>
        <v>0</v>
      </c>
      <c r="AD18" s="29">
        <f xml:space="preserve"> (AD19 + AD22)</f>
        <v>0</v>
      </c>
      <c r="AE18" s="29">
        <f xml:space="preserve"> (AE19 + AE22)</f>
        <v>0</v>
      </c>
      <c r="AF18" s="29">
        <f t="shared" si="2"/>
        <v>0</v>
      </c>
      <c r="AG18" s="29">
        <f xml:space="preserve"> (AG19 + AG22)</f>
        <v>0</v>
      </c>
      <c r="AH18" s="30"/>
      <c r="AI18" s="30"/>
      <c r="AJ18" s="61">
        <f xml:space="preserve"> (AJ19 + AJ22)</f>
        <v>0</v>
      </c>
      <c r="AK18" s="61">
        <f xml:space="preserve"> (AK19 + AK22)</f>
        <v>0</v>
      </c>
      <c r="AL18" s="29">
        <f xml:space="preserve"> (AL19 + AL22)</f>
        <v>0</v>
      </c>
      <c r="AM18" s="29">
        <f xml:space="preserve"> (AM19 + AM22)</f>
        <v>0</v>
      </c>
      <c r="AN18" s="29">
        <f t="shared" si="3"/>
        <v>0</v>
      </c>
      <c r="AO18" s="29">
        <f xml:space="preserve"> (AO19 + AO22)</f>
        <v>0</v>
      </c>
      <c r="AP18" s="30"/>
      <c r="AQ18" s="30"/>
      <c r="AR18" s="30"/>
      <c r="AS18" s="30"/>
      <c r="AT18" s="58">
        <f xml:space="preserve"> (AT19 + AT22)</f>
        <v>0</v>
      </c>
      <c r="AU18" s="58">
        <f xml:space="preserve"> (AU19 + AU22)</f>
        <v>0</v>
      </c>
      <c r="AV18" s="29">
        <f t="shared" si="4"/>
        <v>0</v>
      </c>
      <c r="AW18" s="29">
        <f t="shared" si="5"/>
        <v>0</v>
      </c>
    </row>
    <row r="19" spans="1:49" ht="11.25" customHeight="1" x14ac:dyDescent="0.2">
      <c r="A19" s="88"/>
      <c r="B19" s="89"/>
      <c r="C19" s="88" t="s">
        <v>19</v>
      </c>
      <c r="D19" s="93" t="s">
        <v>33</v>
      </c>
      <c r="E19" s="93"/>
      <c r="F19" s="88"/>
      <c r="G19" s="90" t="s">
        <v>95</v>
      </c>
      <c r="H19" s="4"/>
      <c r="I19" s="29">
        <f xml:space="preserve"> (I20 + I21)</f>
        <v>0</v>
      </c>
      <c r="J19" s="30"/>
      <c r="K19" s="30"/>
      <c r="L19" s="61">
        <f xml:space="preserve"> (L20 + L21)</f>
        <v>0</v>
      </c>
      <c r="M19" s="61">
        <f xml:space="preserve"> (M20 + M21)</f>
        <v>0</v>
      </c>
      <c r="N19" s="29">
        <f xml:space="preserve"> (N20 + N21)</f>
        <v>0</v>
      </c>
      <c r="O19" s="29">
        <f xml:space="preserve"> (O20 + O21)</f>
        <v>0</v>
      </c>
      <c r="P19" s="29">
        <f t="shared" si="0"/>
        <v>0</v>
      </c>
      <c r="Q19" s="29">
        <f xml:space="preserve"> (Q20 + Q21)</f>
        <v>0</v>
      </c>
      <c r="R19" s="30"/>
      <c r="S19" s="30"/>
      <c r="T19" s="61">
        <f xml:space="preserve"> (T20 + T21)</f>
        <v>0</v>
      </c>
      <c r="U19" s="61">
        <f xml:space="preserve"> (U20 + U21)</f>
        <v>0</v>
      </c>
      <c r="V19" s="29">
        <f xml:space="preserve"> (V20 + V21)</f>
        <v>0</v>
      </c>
      <c r="W19" s="29">
        <f xml:space="preserve"> (W20 + W21)</f>
        <v>0</v>
      </c>
      <c r="X19" s="29">
        <f t="shared" si="1"/>
        <v>0</v>
      </c>
      <c r="Y19" s="29">
        <f xml:space="preserve"> (Y20 + Y21)</f>
        <v>0</v>
      </c>
      <c r="Z19" s="30"/>
      <c r="AA19" s="30"/>
      <c r="AB19" s="61">
        <f xml:space="preserve"> (AB20 + AB21)</f>
        <v>0</v>
      </c>
      <c r="AC19" s="61">
        <f xml:space="preserve"> (AC20 + AC21)</f>
        <v>0</v>
      </c>
      <c r="AD19" s="29">
        <f xml:space="preserve"> (AD20 + AD21)</f>
        <v>0</v>
      </c>
      <c r="AE19" s="29">
        <f xml:space="preserve"> (AE20 + AE21)</f>
        <v>0</v>
      </c>
      <c r="AF19" s="29">
        <f t="shared" si="2"/>
        <v>0</v>
      </c>
      <c r="AG19" s="29">
        <f xml:space="preserve"> (AG20 + AG21)</f>
        <v>0</v>
      </c>
      <c r="AH19" s="30"/>
      <c r="AI19" s="30"/>
      <c r="AJ19" s="61">
        <f xml:space="preserve"> (AJ20 + AJ21)</f>
        <v>0</v>
      </c>
      <c r="AK19" s="61">
        <f xml:space="preserve"> (AK20 + AK21)</f>
        <v>0</v>
      </c>
      <c r="AL19" s="29">
        <f xml:space="preserve"> (AL20 + AL21)</f>
        <v>0</v>
      </c>
      <c r="AM19" s="29">
        <f xml:space="preserve"> (AM20 + AM21)</f>
        <v>0</v>
      </c>
      <c r="AN19" s="29">
        <f t="shared" si="3"/>
        <v>0</v>
      </c>
      <c r="AO19" s="29">
        <f xml:space="preserve"> (AO20 + AO21)</f>
        <v>0</v>
      </c>
      <c r="AP19" s="30"/>
      <c r="AQ19" s="30"/>
      <c r="AR19" s="30"/>
      <c r="AS19" s="30"/>
      <c r="AT19" s="58">
        <f xml:space="preserve"> (AT20 + AT21)</f>
        <v>0</v>
      </c>
      <c r="AU19" s="58">
        <f xml:space="preserve"> (AU20 + AU21)</f>
        <v>0</v>
      </c>
      <c r="AV19" s="29">
        <f t="shared" si="4"/>
        <v>0</v>
      </c>
      <c r="AW19" s="29">
        <f t="shared" si="5"/>
        <v>0</v>
      </c>
    </row>
    <row r="20" spans="1:49" ht="11.25" customHeight="1" x14ac:dyDescent="0.2">
      <c r="A20" s="88"/>
      <c r="B20" s="89"/>
      <c r="C20" s="88"/>
      <c r="D20" s="92" t="s">
        <v>25</v>
      </c>
      <c r="E20" s="92"/>
      <c r="F20" s="88" t="s">
        <v>34</v>
      </c>
      <c r="G20" s="90" t="s">
        <v>96</v>
      </c>
      <c r="H20" s="4"/>
      <c r="I20" s="36"/>
      <c r="J20" s="34"/>
      <c r="K20" s="34"/>
      <c r="L20" s="75"/>
      <c r="M20" s="75"/>
      <c r="N20" s="36"/>
      <c r="O20" s="36"/>
      <c r="P20" s="29">
        <f t="shared" si="0"/>
        <v>0</v>
      </c>
      <c r="Q20" s="36"/>
      <c r="R20" s="34"/>
      <c r="S20" s="34"/>
      <c r="T20" s="75"/>
      <c r="U20" s="75"/>
      <c r="V20" s="36"/>
      <c r="W20" s="36"/>
      <c r="X20" s="29">
        <f t="shared" si="1"/>
        <v>0</v>
      </c>
      <c r="Y20" s="36"/>
      <c r="Z20" s="34"/>
      <c r="AA20" s="34"/>
      <c r="AB20" s="75"/>
      <c r="AC20" s="75"/>
      <c r="AD20" s="36"/>
      <c r="AE20" s="36"/>
      <c r="AF20" s="29">
        <f t="shared" si="2"/>
        <v>0</v>
      </c>
      <c r="AG20" s="36"/>
      <c r="AH20" s="34"/>
      <c r="AI20" s="34"/>
      <c r="AJ20" s="75"/>
      <c r="AK20" s="75"/>
      <c r="AL20" s="36"/>
      <c r="AM20" s="36"/>
      <c r="AN20" s="29">
        <f t="shared" si="3"/>
        <v>0</v>
      </c>
      <c r="AO20" s="36"/>
      <c r="AP20" s="34"/>
      <c r="AQ20" s="34"/>
      <c r="AR20" s="32"/>
      <c r="AS20" s="32"/>
      <c r="AT20" s="57"/>
      <c r="AU20" s="57"/>
      <c r="AV20" s="29">
        <f t="shared" si="4"/>
        <v>0</v>
      </c>
      <c r="AW20" s="29">
        <f t="shared" si="5"/>
        <v>0</v>
      </c>
    </row>
    <row r="21" spans="1:49" ht="11.25" customHeight="1" x14ac:dyDescent="0.2">
      <c r="A21" s="88"/>
      <c r="B21" s="89"/>
      <c r="C21" s="88"/>
      <c r="D21" s="92" t="s">
        <v>27</v>
      </c>
      <c r="E21" s="92"/>
      <c r="F21" s="88" t="s">
        <v>35</v>
      </c>
      <c r="G21" s="90" t="s">
        <v>97</v>
      </c>
      <c r="H21" s="4"/>
      <c r="I21" s="36"/>
      <c r="J21" s="34"/>
      <c r="K21" s="34"/>
      <c r="L21" s="75"/>
      <c r="M21" s="75"/>
      <c r="N21" s="36"/>
      <c r="O21" s="36"/>
      <c r="P21" s="29">
        <f t="shared" si="0"/>
        <v>0</v>
      </c>
      <c r="Q21" s="36"/>
      <c r="R21" s="34"/>
      <c r="S21" s="34"/>
      <c r="T21" s="75"/>
      <c r="U21" s="75"/>
      <c r="V21" s="36"/>
      <c r="W21" s="36"/>
      <c r="X21" s="29">
        <f t="shared" si="1"/>
        <v>0</v>
      </c>
      <c r="Y21" s="36"/>
      <c r="Z21" s="34"/>
      <c r="AA21" s="34"/>
      <c r="AB21" s="75"/>
      <c r="AC21" s="75"/>
      <c r="AD21" s="36"/>
      <c r="AE21" s="36"/>
      <c r="AF21" s="29">
        <f t="shared" si="2"/>
        <v>0</v>
      </c>
      <c r="AG21" s="36"/>
      <c r="AH21" s="34"/>
      <c r="AI21" s="34"/>
      <c r="AJ21" s="75"/>
      <c r="AK21" s="75"/>
      <c r="AL21" s="36"/>
      <c r="AM21" s="36"/>
      <c r="AN21" s="29">
        <f t="shared" si="3"/>
        <v>0</v>
      </c>
      <c r="AO21" s="36"/>
      <c r="AP21" s="34"/>
      <c r="AQ21" s="34"/>
      <c r="AR21" s="32"/>
      <c r="AS21" s="32"/>
      <c r="AT21" s="57"/>
      <c r="AU21" s="57"/>
      <c r="AV21" s="29">
        <f t="shared" si="4"/>
        <v>0</v>
      </c>
      <c r="AW21" s="29">
        <f t="shared" si="5"/>
        <v>0</v>
      </c>
    </row>
    <row r="22" spans="1:49" ht="11.25" customHeight="1" x14ac:dyDescent="0.2">
      <c r="A22" s="88"/>
      <c r="B22" s="94"/>
      <c r="C22" s="88" t="s">
        <v>21</v>
      </c>
      <c r="D22" s="88" t="s">
        <v>36</v>
      </c>
      <c r="E22" s="88"/>
      <c r="F22" s="88"/>
      <c r="G22" s="90" t="s">
        <v>98</v>
      </c>
      <c r="H22" s="4"/>
      <c r="I22" s="36"/>
      <c r="J22" s="34"/>
      <c r="K22" s="34"/>
      <c r="L22" s="75"/>
      <c r="M22" s="75"/>
      <c r="N22" s="36"/>
      <c r="O22" s="36"/>
      <c r="P22" s="29">
        <f t="shared" si="0"/>
        <v>0</v>
      </c>
      <c r="Q22" s="36"/>
      <c r="R22" s="34"/>
      <c r="S22" s="34"/>
      <c r="T22" s="75"/>
      <c r="U22" s="75"/>
      <c r="V22" s="36"/>
      <c r="W22" s="36"/>
      <c r="X22" s="29">
        <f t="shared" si="1"/>
        <v>0</v>
      </c>
      <c r="Y22" s="36"/>
      <c r="Z22" s="34"/>
      <c r="AA22" s="34"/>
      <c r="AB22" s="75"/>
      <c r="AC22" s="75"/>
      <c r="AD22" s="36"/>
      <c r="AE22" s="36"/>
      <c r="AF22" s="29">
        <f t="shared" si="2"/>
        <v>0</v>
      </c>
      <c r="AG22" s="36"/>
      <c r="AH22" s="34"/>
      <c r="AI22" s="34"/>
      <c r="AJ22" s="75"/>
      <c r="AK22" s="75"/>
      <c r="AL22" s="36"/>
      <c r="AM22" s="36"/>
      <c r="AN22" s="29">
        <f t="shared" si="3"/>
        <v>0</v>
      </c>
      <c r="AO22" s="36"/>
      <c r="AP22" s="34"/>
      <c r="AQ22" s="34"/>
      <c r="AR22" s="32"/>
      <c r="AS22" s="32"/>
      <c r="AT22" s="57"/>
      <c r="AU22" s="57"/>
      <c r="AV22" s="29">
        <f t="shared" si="4"/>
        <v>0</v>
      </c>
      <c r="AW22" s="29">
        <f t="shared" si="5"/>
        <v>0</v>
      </c>
    </row>
    <row r="23" spans="1:49" ht="11.25" customHeight="1" x14ac:dyDescent="0.2">
      <c r="A23" s="88"/>
      <c r="B23" s="92" t="s">
        <v>37</v>
      </c>
      <c r="C23" s="88" t="s">
        <v>38</v>
      </c>
      <c r="D23" s="88"/>
      <c r="E23" s="88"/>
      <c r="F23" s="88"/>
      <c r="G23" s="90" t="s">
        <v>99</v>
      </c>
      <c r="H23" s="4"/>
      <c r="I23" s="29">
        <f xml:space="preserve"> (I24 + I25)</f>
        <v>0</v>
      </c>
      <c r="J23" s="30"/>
      <c r="K23" s="30"/>
      <c r="L23" s="61">
        <f xml:space="preserve"> (L24 + L25)</f>
        <v>0</v>
      </c>
      <c r="M23" s="61">
        <f xml:space="preserve"> (M24 + M25)</f>
        <v>0</v>
      </c>
      <c r="N23" s="29">
        <f xml:space="preserve"> (N24 + N25)</f>
        <v>0</v>
      </c>
      <c r="O23" s="29">
        <f xml:space="preserve"> (O24 + O25)</f>
        <v>0</v>
      </c>
      <c r="P23" s="29">
        <f t="shared" si="0"/>
        <v>0</v>
      </c>
      <c r="Q23" s="29">
        <f xml:space="preserve"> (Q24 + Q25)</f>
        <v>0</v>
      </c>
      <c r="R23" s="30"/>
      <c r="S23" s="30"/>
      <c r="T23" s="61">
        <f xml:space="preserve"> (T24 + T25)</f>
        <v>0</v>
      </c>
      <c r="U23" s="61">
        <f xml:space="preserve"> (U24 + U25)</f>
        <v>0</v>
      </c>
      <c r="V23" s="29">
        <f xml:space="preserve"> (V24 + V25)</f>
        <v>0</v>
      </c>
      <c r="W23" s="29">
        <f xml:space="preserve"> (W24 + W25)</f>
        <v>0</v>
      </c>
      <c r="X23" s="29">
        <f t="shared" si="1"/>
        <v>0</v>
      </c>
      <c r="Y23" s="29">
        <f xml:space="preserve"> (Y24 + Y25)</f>
        <v>0</v>
      </c>
      <c r="Z23" s="30"/>
      <c r="AA23" s="30"/>
      <c r="AB23" s="61">
        <f xml:space="preserve"> (AB24 + AB25)</f>
        <v>0</v>
      </c>
      <c r="AC23" s="61">
        <f xml:space="preserve"> (AC24 + AC25)</f>
        <v>0</v>
      </c>
      <c r="AD23" s="29">
        <f xml:space="preserve"> (AD24 + AD25)</f>
        <v>0</v>
      </c>
      <c r="AE23" s="29">
        <f xml:space="preserve"> (AE24 + AE25)</f>
        <v>0</v>
      </c>
      <c r="AF23" s="29">
        <f t="shared" si="2"/>
        <v>0</v>
      </c>
      <c r="AG23" s="29">
        <f xml:space="preserve"> (AG24 + AG25)</f>
        <v>0</v>
      </c>
      <c r="AH23" s="30"/>
      <c r="AI23" s="30"/>
      <c r="AJ23" s="61">
        <f xml:space="preserve"> (AJ24 + AJ25)</f>
        <v>0</v>
      </c>
      <c r="AK23" s="61">
        <f xml:space="preserve"> (AK24 + AK25)</f>
        <v>0</v>
      </c>
      <c r="AL23" s="29">
        <f xml:space="preserve"> (AL24 + AL25)</f>
        <v>0</v>
      </c>
      <c r="AM23" s="29">
        <f xml:space="preserve"> (AM24 + AM25)</f>
        <v>0</v>
      </c>
      <c r="AN23" s="29">
        <f t="shared" si="3"/>
        <v>0</v>
      </c>
      <c r="AO23" s="29">
        <f xml:space="preserve"> (AO24 + AO25)</f>
        <v>0</v>
      </c>
      <c r="AP23" s="30"/>
      <c r="AQ23" s="30"/>
      <c r="AR23" s="30"/>
      <c r="AS23" s="30"/>
      <c r="AT23" s="58">
        <f xml:space="preserve"> (AT24 + AT25)</f>
        <v>0</v>
      </c>
      <c r="AU23" s="58">
        <f xml:space="preserve"> (AU24 + AU25)</f>
        <v>0</v>
      </c>
      <c r="AV23" s="29">
        <f t="shared" si="4"/>
        <v>0</v>
      </c>
      <c r="AW23" s="29">
        <f t="shared" si="5"/>
        <v>0</v>
      </c>
    </row>
    <row r="24" spans="1:49" ht="11.25" customHeight="1" x14ac:dyDescent="0.2">
      <c r="A24" s="88"/>
      <c r="B24" s="92"/>
      <c r="C24" s="92" t="s">
        <v>19</v>
      </c>
      <c r="D24" s="88" t="s">
        <v>39</v>
      </c>
      <c r="E24" s="88"/>
      <c r="F24" s="88"/>
      <c r="G24" s="90" t="s">
        <v>100</v>
      </c>
      <c r="H24" s="4"/>
      <c r="I24" s="36"/>
      <c r="J24" s="34"/>
      <c r="K24" s="34"/>
      <c r="L24" s="75"/>
      <c r="M24" s="75"/>
      <c r="N24" s="36"/>
      <c r="O24" s="36"/>
      <c r="P24" s="29">
        <f t="shared" si="0"/>
        <v>0</v>
      </c>
      <c r="Q24" s="36"/>
      <c r="R24" s="34"/>
      <c r="S24" s="34"/>
      <c r="T24" s="75"/>
      <c r="U24" s="75"/>
      <c r="V24" s="36"/>
      <c r="W24" s="36"/>
      <c r="X24" s="29">
        <f t="shared" si="1"/>
        <v>0</v>
      </c>
      <c r="Y24" s="36"/>
      <c r="Z24" s="34"/>
      <c r="AA24" s="34"/>
      <c r="AB24" s="75"/>
      <c r="AC24" s="75"/>
      <c r="AD24" s="36"/>
      <c r="AE24" s="36"/>
      <c r="AF24" s="29">
        <f t="shared" si="2"/>
        <v>0</v>
      </c>
      <c r="AG24" s="36"/>
      <c r="AH24" s="34"/>
      <c r="AI24" s="34"/>
      <c r="AJ24" s="75"/>
      <c r="AK24" s="75"/>
      <c r="AL24" s="36"/>
      <c r="AM24" s="36"/>
      <c r="AN24" s="29">
        <f t="shared" si="3"/>
        <v>0</v>
      </c>
      <c r="AO24" s="36"/>
      <c r="AP24" s="34"/>
      <c r="AQ24" s="34"/>
      <c r="AR24" s="32"/>
      <c r="AS24" s="32"/>
      <c r="AT24" s="57"/>
      <c r="AU24" s="57"/>
      <c r="AV24" s="29">
        <f t="shared" si="4"/>
        <v>0</v>
      </c>
      <c r="AW24" s="29">
        <f t="shared" si="5"/>
        <v>0</v>
      </c>
    </row>
    <row r="25" spans="1:49" ht="11.25" customHeight="1" x14ac:dyDescent="0.2">
      <c r="A25" s="88"/>
      <c r="B25" s="92"/>
      <c r="C25" s="92" t="s">
        <v>21</v>
      </c>
      <c r="D25" s="88" t="s">
        <v>30</v>
      </c>
      <c r="E25" s="88"/>
      <c r="F25" s="88"/>
      <c r="G25" s="90" t="s">
        <v>101</v>
      </c>
      <c r="H25" s="4"/>
      <c r="I25" s="36"/>
      <c r="J25" s="34"/>
      <c r="K25" s="34"/>
      <c r="L25" s="75"/>
      <c r="M25" s="75"/>
      <c r="N25" s="36"/>
      <c r="O25" s="36"/>
      <c r="P25" s="29">
        <f t="shared" si="0"/>
        <v>0</v>
      </c>
      <c r="Q25" s="36"/>
      <c r="R25" s="34"/>
      <c r="S25" s="34"/>
      <c r="T25" s="75"/>
      <c r="U25" s="75"/>
      <c r="V25" s="36"/>
      <c r="W25" s="36"/>
      <c r="X25" s="29">
        <f t="shared" si="1"/>
        <v>0</v>
      </c>
      <c r="Y25" s="36"/>
      <c r="Z25" s="34"/>
      <c r="AA25" s="34"/>
      <c r="AB25" s="75"/>
      <c r="AC25" s="75"/>
      <c r="AD25" s="36"/>
      <c r="AE25" s="36"/>
      <c r="AF25" s="29">
        <f t="shared" si="2"/>
        <v>0</v>
      </c>
      <c r="AG25" s="36"/>
      <c r="AH25" s="34"/>
      <c r="AI25" s="34"/>
      <c r="AJ25" s="75"/>
      <c r="AK25" s="75"/>
      <c r="AL25" s="36"/>
      <c r="AM25" s="36"/>
      <c r="AN25" s="29">
        <f t="shared" si="3"/>
        <v>0</v>
      </c>
      <c r="AO25" s="36"/>
      <c r="AP25" s="34"/>
      <c r="AQ25" s="34"/>
      <c r="AR25" s="32"/>
      <c r="AS25" s="32"/>
      <c r="AT25" s="57"/>
      <c r="AU25" s="57"/>
      <c r="AV25" s="29">
        <f t="shared" si="4"/>
        <v>0</v>
      </c>
      <c r="AW25" s="29">
        <f t="shared" si="5"/>
        <v>0</v>
      </c>
    </row>
    <row r="26" spans="1:49" ht="11.25" customHeight="1" x14ac:dyDescent="0.2">
      <c r="A26" s="88"/>
      <c r="B26" s="92" t="s">
        <v>40</v>
      </c>
      <c r="C26" s="88" t="s">
        <v>41</v>
      </c>
      <c r="D26" s="88"/>
      <c r="E26" s="88"/>
      <c r="F26" s="88"/>
      <c r="G26" s="90" t="s">
        <v>102</v>
      </c>
      <c r="H26" s="4"/>
      <c r="I26" s="36"/>
      <c r="J26" s="34"/>
      <c r="K26" s="34"/>
      <c r="L26" s="75"/>
      <c r="M26" s="75"/>
      <c r="N26" s="36"/>
      <c r="O26" s="36"/>
      <c r="P26" s="29">
        <f t="shared" si="0"/>
        <v>0</v>
      </c>
      <c r="Q26" s="36"/>
      <c r="R26" s="34"/>
      <c r="S26" s="34"/>
      <c r="T26" s="75"/>
      <c r="U26" s="75"/>
      <c r="V26" s="36"/>
      <c r="W26" s="36"/>
      <c r="X26" s="29">
        <f t="shared" si="1"/>
        <v>0</v>
      </c>
      <c r="Y26" s="36"/>
      <c r="Z26" s="34"/>
      <c r="AA26" s="34"/>
      <c r="AB26" s="75"/>
      <c r="AC26" s="75"/>
      <c r="AD26" s="36"/>
      <c r="AE26" s="36"/>
      <c r="AF26" s="29">
        <f t="shared" si="2"/>
        <v>0</v>
      </c>
      <c r="AG26" s="36"/>
      <c r="AH26" s="34"/>
      <c r="AI26" s="34"/>
      <c r="AJ26" s="75"/>
      <c r="AK26" s="75"/>
      <c r="AL26" s="36"/>
      <c r="AM26" s="36"/>
      <c r="AN26" s="29">
        <f t="shared" si="3"/>
        <v>0</v>
      </c>
      <c r="AO26" s="36"/>
      <c r="AP26" s="34"/>
      <c r="AQ26" s="34"/>
      <c r="AR26" s="32"/>
      <c r="AS26" s="32"/>
      <c r="AT26" s="57"/>
      <c r="AU26" s="57"/>
      <c r="AV26" s="29">
        <f t="shared" si="4"/>
        <v>0</v>
      </c>
      <c r="AW26" s="29">
        <f t="shared" si="5"/>
        <v>0</v>
      </c>
    </row>
    <row r="27" spans="1:49" ht="11.25" customHeight="1" x14ac:dyDescent="0.2">
      <c r="A27" s="88"/>
      <c r="B27" s="92" t="s">
        <v>42</v>
      </c>
      <c r="C27" s="88" t="s">
        <v>43</v>
      </c>
      <c r="D27" s="88"/>
      <c r="E27" s="88"/>
      <c r="F27" s="88"/>
      <c r="G27" s="90" t="s">
        <v>103</v>
      </c>
      <c r="H27" s="4"/>
      <c r="I27" s="37"/>
      <c r="J27" s="34"/>
      <c r="K27" s="34"/>
      <c r="L27" s="75"/>
      <c r="M27" s="75"/>
      <c r="N27" s="37"/>
      <c r="O27" s="37"/>
      <c r="P27" s="29">
        <f t="shared" si="0"/>
        <v>0</v>
      </c>
      <c r="Q27" s="37"/>
      <c r="R27" s="34"/>
      <c r="S27" s="34"/>
      <c r="T27" s="75"/>
      <c r="U27" s="75"/>
      <c r="V27" s="37"/>
      <c r="W27" s="37"/>
      <c r="X27" s="29">
        <f t="shared" si="1"/>
        <v>0</v>
      </c>
      <c r="Y27" s="37"/>
      <c r="Z27" s="34"/>
      <c r="AA27" s="34"/>
      <c r="AB27" s="75"/>
      <c r="AC27" s="75"/>
      <c r="AD27" s="37"/>
      <c r="AE27" s="37"/>
      <c r="AF27" s="29">
        <f t="shared" si="2"/>
        <v>0</v>
      </c>
      <c r="AG27" s="37"/>
      <c r="AH27" s="34"/>
      <c r="AI27" s="34"/>
      <c r="AJ27" s="75"/>
      <c r="AK27" s="75"/>
      <c r="AL27" s="37"/>
      <c r="AM27" s="37"/>
      <c r="AN27" s="29">
        <f t="shared" si="3"/>
        <v>0</v>
      </c>
      <c r="AO27" s="37"/>
      <c r="AP27" s="34"/>
      <c r="AQ27" s="34"/>
      <c r="AR27" s="32"/>
      <c r="AS27" s="32"/>
      <c r="AT27" s="57"/>
      <c r="AU27" s="57"/>
      <c r="AV27" s="29">
        <f t="shared" si="4"/>
        <v>0</v>
      </c>
      <c r="AW27" s="29">
        <f t="shared" si="5"/>
        <v>0</v>
      </c>
    </row>
    <row r="28" spans="1:49" ht="11.25" customHeight="1" x14ac:dyDescent="0.2">
      <c r="A28" s="85" t="s">
        <v>44</v>
      </c>
      <c r="B28" s="85" t="s">
        <v>142</v>
      </c>
      <c r="C28" s="86"/>
      <c r="D28" s="86"/>
      <c r="E28" s="86"/>
      <c r="F28" s="86"/>
      <c r="G28" s="87" t="s">
        <v>104</v>
      </c>
      <c r="H28" s="28"/>
      <c r="I28" s="33">
        <f xml:space="preserve"> (I29 + I30)</f>
        <v>0</v>
      </c>
      <c r="J28" s="30"/>
      <c r="K28" s="30"/>
      <c r="L28" s="61">
        <f xml:space="preserve"> (L29 + L30)</f>
        <v>0</v>
      </c>
      <c r="M28" s="61">
        <f xml:space="preserve"> (M29 + M30)</f>
        <v>0</v>
      </c>
      <c r="N28" s="33">
        <f xml:space="preserve"> (N29 + N30)</f>
        <v>0</v>
      </c>
      <c r="O28" s="33">
        <f xml:space="preserve"> (O29 + O30)</f>
        <v>0</v>
      </c>
      <c r="P28" s="29">
        <f t="shared" si="0"/>
        <v>0</v>
      </c>
      <c r="Q28" s="33">
        <f xml:space="preserve"> (Q29 + Q30)</f>
        <v>0</v>
      </c>
      <c r="R28" s="30"/>
      <c r="S28" s="30"/>
      <c r="T28" s="61">
        <f xml:space="preserve"> (T29 + T30)</f>
        <v>0</v>
      </c>
      <c r="U28" s="61">
        <f xml:space="preserve"> (U29 + U30)</f>
        <v>0</v>
      </c>
      <c r="V28" s="33">
        <f xml:space="preserve"> (V29 + V30)</f>
        <v>0</v>
      </c>
      <c r="W28" s="33">
        <f xml:space="preserve"> (W29 + W30)</f>
        <v>0</v>
      </c>
      <c r="X28" s="29">
        <f t="shared" si="1"/>
        <v>0</v>
      </c>
      <c r="Y28" s="33">
        <f xml:space="preserve"> (Y29 + Y30)</f>
        <v>0</v>
      </c>
      <c r="Z28" s="30"/>
      <c r="AA28" s="30"/>
      <c r="AB28" s="61">
        <f xml:space="preserve"> (AB29 + AB30)</f>
        <v>0</v>
      </c>
      <c r="AC28" s="61">
        <f xml:space="preserve"> (AC29 + AC30)</f>
        <v>0</v>
      </c>
      <c r="AD28" s="33">
        <f xml:space="preserve"> (AD29 + AD30)</f>
        <v>0</v>
      </c>
      <c r="AE28" s="33">
        <f xml:space="preserve"> (AE29 + AE30)</f>
        <v>0</v>
      </c>
      <c r="AF28" s="29">
        <f t="shared" si="2"/>
        <v>0</v>
      </c>
      <c r="AG28" s="33">
        <f xml:space="preserve"> (AG29 + AG30)</f>
        <v>0</v>
      </c>
      <c r="AH28" s="30"/>
      <c r="AI28" s="30"/>
      <c r="AJ28" s="61">
        <f xml:space="preserve"> (AJ29 + AJ30)</f>
        <v>0</v>
      </c>
      <c r="AK28" s="61">
        <f xml:space="preserve"> (AK29 + AK30)</f>
        <v>0</v>
      </c>
      <c r="AL28" s="33">
        <f xml:space="preserve"> (AL29 + AL30)</f>
        <v>0</v>
      </c>
      <c r="AM28" s="33">
        <f xml:space="preserve"> (AM29 + AM30)</f>
        <v>0</v>
      </c>
      <c r="AN28" s="29">
        <f t="shared" si="3"/>
        <v>0</v>
      </c>
      <c r="AO28" s="33">
        <f xml:space="preserve"> (AO29 + AO30)</f>
        <v>0</v>
      </c>
      <c r="AP28" s="30"/>
      <c r="AQ28" s="30"/>
      <c r="AR28" s="61">
        <f xml:space="preserve"> (AR29 + AR30)</f>
        <v>0</v>
      </c>
      <c r="AS28" s="61">
        <f xml:space="preserve"> (AS29 + AS30)</f>
        <v>0</v>
      </c>
      <c r="AT28" s="29">
        <f xml:space="preserve"> (AT29 + AT30)</f>
        <v>0</v>
      </c>
      <c r="AU28" s="29">
        <f xml:space="preserve"> (AU29 + AU30)</f>
        <v>0</v>
      </c>
      <c r="AV28" s="29">
        <f t="shared" si="4"/>
        <v>0</v>
      </c>
      <c r="AW28" s="29">
        <f t="shared" si="5"/>
        <v>0</v>
      </c>
    </row>
    <row r="29" spans="1:49" ht="11.25" customHeight="1" x14ac:dyDescent="0.2">
      <c r="A29" s="88"/>
      <c r="B29" s="89" t="s">
        <v>17</v>
      </c>
      <c r="C29" s="88" t="s">
        <v>45</v>
      </c>
      <c r="D29" s="88"/>
      <c r="E29" s="88"/>
      <c r="F29" s="88"/>
      <c r="G29" s="90" t="s">
        <v>105</v>
      </c>
      <c r="H29" s="4"/>
      <c r="I29" s="37"/>
      <c r="J29" s="34"/>
      <c r="K29" s="34"/>
      <c r="L29" s="75"/>
      <c r="M29" s="75"/>
      <c r="N29" s="37"/>
      <c r="O29" s="37"/>
      <c r="P29" s="29">
        <f t="shared" si="0"/>
        <v>0</v>
      </c>
      <c r="Q29" s="37"/>
      <c r="R29" s="34"/>
      <c r="S29" s="34"/>
      <c r="T29" s="75"/>
      <c r="U29" s="75"/>
      <c r="V29" s="37"/>
      <c r="W29" s="37"/>
      <c r="X29" s="29">
        <f t="shared" si="1"/>
        <v>0</v>
      </c>
      <c r="Y29" s="37"/>
      <c r="Z29" s="34"/>
      <c r="AA29" s="34"/>
      <c r="AB29" s="75"/>
      <c r="AC29" s="75"/>
      <c r="AD29" s="37"/>
      <c r="AE29" s="37"/>
      <c r="AF29" s="29">
        <f t="shared" si="2"/>
        <v>0</v>
      </c>
      <c r="AG29" s="37"/>
      <c r="AH29" s="34"/>
      <c r="AI29" s="34"/>
      <c r="AJ29" s="75"/>
      <c r="AK29" s="75"/>
      <c r="AL29" s="37"/>
      <c r="AM29" s="37"/>
      <c r="AN29" s="29">
        <f t="shared" si="3"/>
        <v>0</v>
      </c>
      <c r="AO29" s="37"/>
      <c r="AP29" s="34"/>
      <c r="AQ29" s="34"/>
      <c r="AR29" s="61"/>
      <c r="AS29" s="61"/>
      <c r="AT29" s="36"/>
      <c r="AU29" s="36"/>
      <c r="AV29" s="29">
        <f t="shared" si="4"/>
        <v>0</v>
      </c>
      <c r="AW29" s="29">
        <f t="shared" si="5"/>
        <v>0</v>
      </c>
    </row>
    <row r="30" spans="1:49" ht="11.25" customHeight="1" x14ac:dyDescent="0.2">
      <c r="A30" s="88"/>
      <c r="B30" s="89" t="s">
        <v>31</v>
      </c>
      <c r="C30" s="88" t="s">
        <v>46</v>
      </c>
      <c r="D30" s="88"/>
      <c r="E30" s="88"/>
      <c r="F30" s="88"/>
      <c r="G30" s="90" t="s">
        <v>106</v>
      </c>
      <c r="H30" s="4"/>
      <c r="I30" s="37"/>
      <c r="J30" s="34"/>
      <c r="K30" s="34"/>
      <c r="L30" s="75"/>
      <c r="M30" s="75"/>
      <c r="N30" s="37"/>
      <c r="O30" s="37"/>
      <c r="P30" s="29">
        <f t="shared" si="0"/>
        <v>0</v>
      </c>
      <c r="Q30" s="37"/>
      <c r="R30" s="34"/>
      <c r="S30" s="34"/>
      <c r="T30" s="75"/>
      <c r="U30" s="75"/>
      <c r="V30" s="37"/>
      <c r="W30" s="37"/>
      <c r="X30" s="29">
        <f t="shared" si="1"/>
        <v>0</v>
      </c>
      <c r="Y30" s="37"/>
      <c r="Z30" s="34"/>
      <c r="AA30" s="34"/>
      <c r="AB30" s="75"/>
      <c r="AC30" s="75"/>
      <c r="AD30" s="37"/>
      <c r="AE30" s="37"/>
      <c r="AF30" s="29">
        <f t="shared" si="2"/>
        <v>0</v>
      </c>
      <c r="AG30" s="37"/>
      <c r="AH30" s="34"/>
      <c r="AI30" s="34"/>
      <c r="AJ30" s="75"/>
      <c r="AK30" s="75"/>
      <c r="AL30" s="37"/>
      <c r="AM30" s="37"/>
      <c r="AN30" s="29">
        <f t="shared" si="3"/>
        <v>0</v>
      </c>
      <c r="AO30" s="37"/>
      <c r="AP30" s="34"/>
      <c r="AQ30" s="34"/>
      <c r="AR30" s="61"/>
      <c r="AS30" s="61"/>
      <c r="AT30" s="36"/>
      <c r="AU30" s="36"/>
      <c r="AV30" s="29">
        <f t="shared" si="4"/>
        <v>0</v>
      </c>
      <c r="AW30" s="29">
        <f t="shared" si="5"/>
        <v>0</v>
      </c>
    </row>
    <row r="31" spans="1:49" ht="11.25" customHeight="1" x14ac:dyDescent="0.2">
      <c r="A31" s="95" t="s">
        <v>141</v>
      </c>
      <c r="B31" s="95"/>
      <c r="C31" s="95"/>
      <c r="D31" s="88"/>
      <c r="E31" s="88"/>
      <c r="F31" s="88"/>
      <c r="G31" s="90" t="s">
        <v>107</v>
      </c>
      <c r="H31" s="4"/>
      <c r="I31" s="29">
        <f xml:space="preserve"> (I10 + I28)</f>
        <v>0</v>
      </c>
      <c r="J31" s="30"/>
      <c r="K31" s="30"/>
      <c r="L31" s="61">
        <f xml:space="preserve"> (L10 + L28)</f>
        <v>0</v>
      </c>
      <c r="M31" s="61">
        <f xml:space="preserve"> (M10 + M28)</f>
        <v>0</v>
      </c>
      <c r="N31" s="29">
        <f xml:space="preserve"> (N10 + N28)</f>
        <v>0</v>
      </c>
      <c r="O31" s="29">
        <f xml:space="preserve"> (O10 + O28)</f>
        <v>0</v>
      </c>
      <c r="P31" s="29">
        <f t="shared" si="0"/>
        <v>0</v>
      </c>
      <c r="Q31" s="29">
        <f xml:space="preserve"> (Q10 + Q28)</f>
        <v>0</v>
      </c>
      <c r="R31" s="30"/>
      <c r="S31" s="30"/>
      <c r="T31" s="61">
        <f xml:space="preserve"> (T10 + T28)</f>
        <v>0</v>
      </c>
      <c r="U31" s="61">
        <f xml:space="preserve"> (U10 + U28)</f>
        <v>0</v>
      </c>
      <c r="V31" s="29">
        <f xml:space="preserve"> (V10 + V28)</f>
        <v>0</v>
      </c>
      <c r="W31" s="29">
        <f xml:space="preserve"> (W10 + W28)</f>
        <v>0</v>
      </c>
      <c r="X31" s="29">
        <f t="shared" si="1"/>
        <v>0</v>
      </c>
      <c r="Y31" s="29">
        <f xml:space="preserve"> (Y10 + Y28)</f>
        <v>0</v>
      </c>
      <c r="Z31" s="30"/>
      <c r="AA31" s="30"/>
      <c r="AB31" s="61">
        <f xml:space="preserve"> (AB10 + AB28)</f>
        <v>0</v>
      </c>
      <c r="AC31" s="61">
        <f xml:space="preserve"> (AC10 + AC28)</f>
        <v>0</v>
      </c>
      <c r="AD31" s="29">
        <f xml:space="preserve"> (AD10 + AD28)</f>
        <v>0</v>
      </c>
      <c r="AE31" s="29">
        <f xml:space="preserve"> (AE10 + AE28)</f>
        <v>0</v>
      </c>
      <c r="AF31" s="29">
        <f t="shared" si="2"/>
        <v>0</v>
      </c>
      <c r="AG31" s="29">
        <f xml:space="preserve"> (AG10 + AG28)</f>
        <v>0</v>
      </c>
      <c r="AH31" s="30"/>
      <c r="AI31" s="30"/>
      <c r="AJ31" s="61">
        <f xml:space="preserve"> (AJ10 + AJ28)</f>
        <v>0</v>
      </c>
      <c r="AK31" s="61">
        <f xml:space="preserve"> (AK10 + AK28)</f>
        <v>0</v>
      </c>
      <c r="AL31" s="29">
        <f xml:space="preserve"> (AL10 + AL28)</f>
        <v>0</v>
      </c>
      <c r="AM31" s="29">
        <f xml:space="preserve"> (AM10 + AM28)</f>
        <v>0</v>
      </c>
      <c r="AN31" s="29">
        <f t="shared" si="3"/>
        <v>0</v>
      </c>
      <c r="AO31" s="29">
        <f xml:space="preserve"> (AO10 + AO28)</f>
        <v>0</v>
      </c>
      <c r="AP31" s="30"/>
      <c r="AQ31" s="30"/>
      <c r="AR31" s="61">
        <f xml:space="preserve"> (AR10 + AR28)</f>
        <v>0</v>
      </c>
      <c r="AS31" s="61">
        <f xml:space="preserve"> (AS10 + AS28)</f>
        <v>0</v>
      </c>
      <c r="AT31" s="29">
        <f xml:space="preserve"> (AT10 + AT28)</f>
        <v>0</v>
      </c>
      <c r="AU31" s="29">
        <f xml:space="preserve"> (AU10 + AU28)</f>
        <v>0</v>
      </c>
      <c r="AV31" s="29">
        <f t="shared" si="4"/>
        <v>0</v>
      </c>
      <c r="AW31" s="29">
        <f t="shared" si="5"/>
        <v>0</v>
      </c>
    </row>
    <row r="32" spans="1:49" ht="11.25" customHeight="1" x14ac:dyDescent="0.2">
      <c r="A32" s="95" t="s">
        <v>47</v>
      </c>
      <c r="B32" s="95"/>
      <c r="C32" s="95"/>
      <c r="D32" s="88"/>
      <c r="E32" s="88"/>
      <c r="F32" s="88"/>
      <c r="G32" s="96"/>
      <c r="H32" s="4"/>
      <c r="I32" s="31"/>
      <c r="J32" s="74"/>
      <c r="K32" s="74"/>
      <c r="L32" s="31"/>
      <c r="M32" s="31"/>
      <c r="N32" s="31"/>
      <c r="O32" s="31"/>
      <c r="P32" s="29"/>
      <c r="Q32" s="31"/>
      <c r="R32" s="74"/>
      <c r="S32" s="74"/>
      <c r="T32" s="31"/>
      <c r="U32" s="31"/>
      <c r="V32" s="31"/>
      <c r="W32" s="31"/>
      <c r="X32" s="29"/>
      <c r="Y32" s="31"/>
      <c r="Z32" s="74"/>
      <c r="AA32" s="74"/>
      <c r="AB32" s="31"/>
      <c r="AC32" s="31"/>
      <c r="AD32" s="31"/>
      <c r="AE32" s="31"/>
      <c r="AF32" s="29"/>
      <c r="AG32" s="31"/>
      <c r="AH32" s="74"/>
      <c r="AI32" s="74"/>
      <c r="AJ32" s="31"/>
      <c r="AK32" s="31"/>
      <c r="AL32" s="31"/>
      <c r="AM32" s="31"/>
      <c r="AN32" s="29"/>
      <c r="AO32" s="31"/>
      <c r="AP32" s="74"/>
      <c r="AQ32" s="74"/>
      <c r="AR32" s="74"/>
      <c r="AS32" s="74"/>
      <c r="AT32" s="31"/>
      <c r="AU32" s="31"/>
      <c r="AV32" s="29"/>
      <c r="AW32" s="29"/>
    </row>
    <row r="33" spans="1:50" ht="11.25" customHeight="1" x14ac:dyDescent="0.2">
      <c r="A33" s="92" t="s">
        <v>17</v>
      </c>
      <c r="B33" s="88" t="s">
        <v>48</v>
      </c>
      <c r="C33" s="95"/>
      <c r="D33" s="88"/>
      <c r="E33" s="88"/>
      <c r="F33" s="88"/>
      <c r="G33" s="90" t="s">
        <v>108</v>
      </c>
      <c r="H33" s="4"/>
      <c r="I33" s="34"/>
      <c r="J33" s="34"/>
      <c r="K33" s="34"/>
      <c r="L33" s="34"/>
      <c r="M33" s="34"/>
      <c r="N33" s="66"/>
      <c r="O33" s="66"/>
      <c r="P33" s="61"/>
      <c r="Q33" s="36"/>
      <c r="R33" s="34"/>
      <c r="S33" s="34"/>
      <c r="T33" s="75"/>
      <c r="U33" s="75"/>
      <c r="V33" s="36"/>
      <c r="W33" s="36"/>
      <c r="X33" s="29">
        <f t="shared" si="1"/>
        <v>0</v>
      </c>
      <c r="Y33" s="34"/>
      <c r="Z33" s="34"/>
      <c r="AA33" s="34"/>
      <c r="AB33" s="34"/>
      <c r="AC33" s="34"/>
      <c r="AD33" s="66"/>
      <c r="AE33" s="66"/>
      <c r="AF33" s="61"/>
      <c r="AG33" s="34"/>
      <c r="AH33" s="34"/>
      <c r="AI33" s="34"/>
      <c r="AJ33" s="34"/>
      <c r="AK33" s="34"/>
      <c r="AL33" s="66"/>
      <c r="AM33" s="66"/>
      <c r="AN33" s="61"/>
      <c r="AO33" s="34"/>
      <c r="AP33" s="34"/>
      <c r="AQ33" s="34"/>
      <c r="AR33" s="34"/>
      <c r="AS33" s="34"/>
      <c r="AT33" s="66"/>
      <c r="AU33" s="66"/>
      <c r="AV33" s="61"/>
      <c r="AW33" s="29">
        <f t="shared" si="5"/>
        <v>0</v>
      </c>
    </row>
    <row r="34" spans="1:50" ht="11.25" customHeight="1" x14ac:dyDescent="0.2">
      <c r="A34" s="92" t="s">
        <v>31</v>
      </c>
      <c r="B34" s="88" t="s">
        <v>49</v>
      </c>
      <c r="C34" s="88"/>
      <c r="D34" s="88"/>
      <c r="E34" s="88"/>
      <c r="F34" s="88"/>
      <c r="G34" s="90" t="s">
        <v>109</v>
      </c>
      <c r="H34" s="4"/>
      <c r="I34" s="29">
        <f xml:space="preserve"> (I35 + I36)</f>
        <v>0</v>
      </c>
      <c r="J34" s="34"/>
      <c r="K34" s="34"/>
      <c r="L34" s="75"/>
      <c r="M34" s="75"/>
      <c r="N34" s="36"/>
      <c r="O34" s="36"/>
      <c r="P34" s="29">
        <f t="shared" si="0"/>
        <v>0</v>
      </c>
      <c r="Q34" s="29">
        <f xml:space="preserve"> (Q35 + Q36)</f>
        <v>0</v>
      </c>
      <c r="R34" s="34"/>
      <c r="S34" s="34"/>
      <c r="T34" s="75"/>
      <c r="U34" s="75"/>
      <c r="V34" s="36"/>
      <c r="W34" s="36"/>
      <c r="X34" s="29">
        <f t="shared" si="1"/>
        <v>0</v>
      </c>
      <c r="Y34" s="29">
        <f xml:space="preserve"> (Y35 + Y36)</f>
        <v>0</v>
      </c>
      <c r="Z34" s="34"/>
      <c r="AA34" s="34"/>
      <c r="AB34" s="75"/>
      <c r="AC34" s="75"/>
      <c r="AD34" s="36"/>
      <c r="AE34" s="36"/>
      <c r="AF34" s="29">
        <f t="shared" si="2"/>
        <v>0</v>
      </c>
      <c r="AG34" s="29">
        <f xml:space="preserve"> (AG35 + AG36)</f>
        <v>0</v>
      </c>
      <c r="AH34" s="34"/>
      <c r="AI34" s="34"/>
      <c r="AJ34" s="75"/>
      <c r="AK34" s="75"/>
      <c r="AL34" s="36"/>
      <c r="AM34" s="36"/>
      <c r="AN34" s="29">
        <f t="shared" si="3"/>
        <v>0</v>
      </c>
      <c r="AO34" s="29">
        <f xml:space="preserve"> (AO35 + AO36)</f>
        <v>0</v>
      </c>
      <c r="AP34" s="34"/>
      <c r="AQ34" s="34"/>
      <c r="AR34" s="34"/>
      <c r="AS34" s="34"/>
      <c r="AT34" s="36"/>
      <c r="AU34" s="36"/>
      <c r="AV34" s="29">
        <f t="shared" si="4"/>
        <v>0</v>
      </c>
      <c r="AW34" s="29">
        <f t="shared" si="5"/>
        <v>0</v>
      </c>
    </row>
    <row r="35" spans="1:50" ht="11.25" customHeight="1" x14ac:dyDescent="0.2">
      <c r="A35" s="92"/>
      <c r="B35" s="88" t="s">
        <v>774</v>
      </c>
      <c r="C35" s="88" t="s">
        <v>775</v>
      </c>
      <c r="D35" s="88"/>
      <c r="E35" s="88"/>
      <c r="F35" s="88"/>
      <c r="G35" s="90" t="s">
        <v>776</v>
      </c>
      <c r="H35" s="4"/>
      <c r="I35" s="36"/>
      <c r="J35" s="34"/>
      <c r="K35" s="34"/>
      <c r="L35" s="75"/>
      <c r="M35" s="75"/>
      <c r="N35" s="36"/>
      <c r="O35" s="36"/>
      <c r="P35" s="29">
        <f t="shared" si="0"/>
        <v>0</v>
      </c>
      <c r="Q35" s="36"/>
      <c r="R35" s="34"/>
      <c r="S35" s="34"/>
      <c r="T35" s="75"/>
      <c r="U35" s="75"/>
      <c r="V35" s="36"/>
      <c r="W35" s="36"/>
      <c r="X35" s="29">
        <f t="shared" si="1"/>
        <v>0</v>
      </c>
      <c r="Y35" s="36"/>
      <c r="Z35" s="34"/>
      <c r="AA35" s="34"/>
      <c r="AB35" s="75"/>
      <c r="AC35" s="75"/>
      <c r="AD35" s="36"/>
      <c r="AE35" s="36"/>
      <c r="AF35" s="29">
        <f t="shared" si="2"/>
        <v>0</v>
      </c>
      <c r="AG35" s="36"/>
      <c r="AH35" s="34"/>
      <c r="AI35" s="34"/>
      <c r="AJ35" s="75"/>
      <c r="AK35" s="75"/>
      <c r="AL35" s="36"/>
      <c r="AM35" s="36"/>
      <c r="AN35" s="29">
        <f t="shared" si="3"/>
        <v>0</v>
      </c>
      <c r="AO35" s="36"/>
      <c r="AP35" s="34"/>
      <c r="AQ35" s="34"/>
      <c r="AR35" s="34"/>
      <c r="AS35" s="34"/>
      <c r="AT35" s="36"/>
      <c r="AU35" s="36"/>
      <c r="AV35" s="29">
        <f>AO35+AS35+AU35</f>
        <v>0</v>
      </c>
      <c r="AW35" s="29">
        <f>P35+X35+AF35+AN35+AV35</f>
        <v>0</v>
      </c>
    </row>
    <row r="36" spans="1:50" ht="11.25" customHeight="1" x14ac:dyDescent="0.2">
      <c r="A36" s="92"/>
      <c r="B36" s="88" t="s">
        <v>777</v>
      </c>
      <c r="C36" s="88" t="s">
        <v>778</v>
      </c>
      <c r="D36" s="88"/>
      <c r="E36" s="88"/>
      <c r="F36" s="88"/>
      <c r="G36" s="90" t="s">
        <v>779</v>
      </c>
      <c r="H36" s="4"/>
      <c r="I36" s="36"/>
      <c r="J36" s="34"/>
      <c r="K36" s="34"/>
      <c r="L36" s="75"/>
      <c r="M36" s="75"/>
      <c r="N36" s="36"/>
      <c r="O36" s="36"/>
      <c r="P36" s="29">
        <f t="shared" si="0"/>
        <v>0</v>
      </c>
      <c r="Q36" s="36"/>
      <c r="R36" s="34"/>
      <c r="S36" s="34"/>
      <c r="T36" s="75"/>
      <c r="U36" s="75"/>
      <c r="V36" s="36"/>
      <c r="W36" s="36"/>
      <c r="X36" s="29">
        <f t="shared" si="1"/>
        <v>0</v>
      </c>
      <c r="Y36" s="36"/>
      <c r="Z36" s="34"/>
      <c r="AA36" s="34"/>
      <c r="AB36" s="75"/>
      <c r="AC36" s="75"/>
      <c r="AD36" s="36"/>
      <c r="AE36" s="36"/>
      <c r="AF36" s="29">
        <f t="shared" si="2"/>
        <v>0</v>
      </c>
      <c r="AG36" s="36"/>
      <c r="AH36" s="34"/>
      <c r="AI36" s="34"/>
      <c r="AJ36" s="75"/>
      <c r="AK36" s="75"/>
      <c r="AL36" s="36"/>
      <c r="AM36" s="36"/>
      <c r="AN36" s="29">
        <f t="shared" si="3"/>
        <v>0</v>
      </c>
      <c r="AO36" s="36"/>
      <c r="AP36" s="34"/>
      <c r="AQ36" s="34"/>
      <c r="AR36" s="34"/>
      <c r="AS36" s="34"/>
      <c r="AT36" s="36"/>
      <c r="AU36" s="36"/>
      <c r="AV36" s="29">
        <f>AO36+AS36+AU36</f>
        <v>0</v>
      </c>
      <c r="AW36" s="29">
        <f>P36+X36+AF36+AN36+AV36</f>
        <v>0</v>
      </c>
    </row>
    <row r="37" spans="1:50" ht="11.25" customHeight="1" x14ac:dyDescent="0.2">
      <c r="A37" s="92" t="s">
        <v>37</v>
      </c>
      <c r="B37" s="88" t="s">
        <v>50</v>
      </c>
      <c r="C37" s="88"/>
      <c r="D37" s="88"/>
      <c r="E37" s="88"/>
      <c r="F37" s="88"/>
      <c r="G37" s="90" t="s">
        <v>110</v>
      </c>
      <c r="H37" s="4"/>
      <c r="I37" s="36"/>
      <c r="J37" s="34"/>
      <c r="K37" s="34"/>
      <c r="L37" s="75"/>
      <c r="M37" s="75"/>
      <c r="N37" s="36"/>
      <c r="O37" s="36"/>
      <c r="P37" s="29">
        <f t="shared" si="0"/>
        <v>0</v>
      </c>
      <c r="Q37" s="36"/>
      <c r="R37" s="34"/>
      <c r="S37" s="34"/>
      <c r="T37" s="75"/>
      <c r="U37" s="75"/>
      <c r="V37" s="36"/>
      <c r="W37" s="36"/>
      <c r="X37" s="29">
        <f t="shared" si="1"/>
        <v>0</v>
      </c>
      <c r="Y37" s="36"/>
      <c r="Z37" s="34"/>
      <c r="AA37" s="34"/>
      <c r="AB37" s="75"/>
      <c r="AC37" s="75"/>
      <c r="AD37" s="36"/>
      <c r="AE37" s="36"/>
      <c r="AF37" s="29">
        <f t="shared" si="2"/>
        <v>0</v>
      </c>
      <c r="AG37" s="36"/>
      <c r="AH37" s="34"/>
      <c r="AI37" s="34"/>
      <c r="AJ37" s="75"/>
      <c r="AK37" s="75"/>
      <c r="AL37" s="36"/>
      <c r="AM37" s="36"/>
      <c r="AN37" s="29">
        <f t="shared" si="3"/>
        <v>0</v>
      </c>
      <c r="AO37" s="36"/>
      <c r="AP37" s="34"/>
      <c r="AQ37" s="34"/>
      <c r="AR37" s="34"/>
      <c r="AS37" s="34"/>
      <c r="AT37" s="36"/>
      <c r="AU37" s="36"/>
      <c r="AV37" s="29">
        <f t="shared" si="4"/>
        <v>0</v>
      </c>
      <c r="AW37" s="29">
        <f t="shared" si="5"/>
        <v>0</v>
      </c>
    </row>
    <row r="38" spans="1:50" ht="11.25" customHeight="1" x14ac:dyDescent="0.2">
      <c r="A38" s="92" t="s">
        <v>40</v>
      </c>
      <c r="B38" s="88" t="s">
        <v>51</v>
      </c>
      <c r="C38" s="88"/>
      <c r="D38" s="88"/>
      <c r="E38" s="88"/>
      <c r="F38" s="88"/>
      <c r="G38" s="90" t="s">
        <v>111</v>
      </c>
      <c r="H38" s="4"/>
      <c r="I38" s="36"/>
      <c r="J38" s="34"/>
      <c r="K38" s="34"/>
      <c r="L38" s="75"/>
      <c r="M38" s="75"/>
      <c r="N38" s="36"/>
      <c r="O38" s="36"/>
      <c r="P38" s="29">
        <f t="shared" si="0"/>
        <v>0</v>
      </c>
      <c r="Q38" s="36"/>
      <c r="R38" s="34"/>
      <c r="S38" s="34"/>
      <c r="T38" s="75"/>
      <c r="U38" s="75"/>
      <c r="V38" s="36"/>
      <c r="W38" s="36"/>
      <c r="X38" s="29">
        <f t="shared" si="1"/>
        <v>0</v>
      </c>
      <c r="Y38" s="36"/>
      <c r="Z38" s="34"/>
      <c r="AA38" s="34"/>
      <c r="AB38" s="75"/>
      <c r="AC38" s="75"/>
      <c r="AD38" s="36"/>
      <c r="AE38" s="36"/>
      <c r="AF38" s="29">
        <f t="shared" si="2"/>
        <v>0</v>
      </c>
      <c r="AG38" s="36"/>
      <c r="AH38" s="34"/>
      <c r="AI38" s="34"/>
      <c r="AJ38" s="75"/>
      <c r="AK38" s="75"/>
      <c r="AL38" s="36"/>
      <c r="AM38" s="36"/>
      <c r="AN38" s="29">
        <f t="shared" si="3"/>
        <v>0</v>
      </c>
      <c r="AO38" s="36"/>
      <c r="AP38" s="34"/>
      <c r="AQ38" s="34"/>
      <c r="AR38" s="34"/>
      <c r="AS38" s="34"/>
      <c r="AT38" s="36"/>
      <c r="AU38" s="36"/>
      <c r="AV38" s="29">
        <f t="shared" si="4"/>
        <v>0</v>
      </c>
      <c r="AW38" s="29">
        <f t="shared" si="5"/>
        <v>0</v>
      </c>
    </row>
    <row r="39" spans="1:50" ht="11.25" customHeight="1" x14ac:dyDescent="0.2">
      <c r="A39" s="92" t="s">
        <v>42</v>
      </c>
      <c r="B39" s="88" t="s">
        <v>52</v>
      </c>
      <c r="C39" s="88"/>
      <c r="D39" s="88"/>
      <c r="E39" s="88"/>
      <c r="F39" s="88"/>
      <c r="G39" s="90" t="s">
        <v>112</v>
      </c>
      <c r="H39" s="4"/>
      <c r="I39" s="29">
        <f xml:space="preserve"> (I40 + I41)</f>
        <v>0</v>
      </c>
      <c r="J39" s="30"/>
      <c r="K39" s="30"/>
      <c r="L39" s="61">
        <f xml:space="preserve"> (L40 + L41)</f>
        <v>0</v>
      </c>
      <c r="M39" s="61">
        <f xml:space="preserve"> (M40 + M41)</f>
        <v>0</v>
      </c>
      <c r="N39" s="29">
        <f xml:space="preserve"> (N40 + N41)</f>
        <v>0</v>
      </c>
      <c r="O39" s="29">
        <f xml:space="preserve"> (O40 + O41)</f>
        <v>0</v>
      </c>
      <c r="P39" s="29">
        <f t="shared" si="0"/>
        <v>0</v>
      </c>
      <c r="Q39" s="29">
        <f xml:space="preserve"> (Q40 + Q41)</f>
        <v>0</v>
      </c>
      <c r="R39" s="30"/>
      <c r="S39" s="30"/>
      <c r="T39" s="61">
        <f xml:space="preserve"> (T40 + T41)</f>
        <v>0</v>
      </c>
      <c r="U39" s="61">
        <f xml:space="preserve"> (U40 + U41)</f>
        <v>0</v>
      </c>
      <c r="V39" s="29">
        <f xml:space="preserve"> (V40 + V41)</f>
        <v>0</v>
      </c>
      <c r="W39" s="29">
        <f xml:space="preserve"> (W40 + W41)</f>
        <v>0</v>
      </c>
      <c r="X39" s="29">
        <f t="shared" si="1"/>
        <v>0</v>
      </c>
      <c r="Y39" s="29">
        <f xml:space="preserve"> (Y40 + Y41)</f>
        <v>0</v>
      </c>
      <c r="Z39" s="30"/>
      <c r="AA39" s="30"/>
      <c r="AB39" s="61">
        <f xml:space="preserve"> (AB40 + AB41)</f>
        <v>0</v>
      </c>
      <c r="AC39" s="61">
        <f xml:space="preserve"> (AC40 + AC41)</f>
        <v>0</v>
      </c>
      <c r="AD39" s="29">
        <f xml:space="preserve"> (AD40 + AD41)</f>
        <v>0</v>
      </c>
      <c r="AE39" s="29">
        <f xml:space="preserve"> (AE40 + AE41)</f>
        <v>0</v>
      </c>
      <c r="AF39" s="29">
        <f t="shared" si="2"/>
        <v>0</v>
      </c>
      <c r="AG39" s="29">
        <f xml:space="preserve"> (AG40 + AG41)</f>
        <v>0</v>
      </c>
      <c r="AH39" s="30"/>
      <c r="AI39" s="30"/>
      <c r="AJ39" s="61">
        <f xml:space="preserve"> (AJ40 + AJ41)</f>
        <v>0</v>
      </c>
      <c r="AK39" s="61">
        <f xml:space="preserve"> (AK40 + AK41)</f>
        <v>0</v>
      </c>
      <c r="AL39" s="29">
        <f xml:space="preserve"> (AL40 + AL41)</f>
        <v>0</v>
      </c>
      <c r="AM39" s="29">
        <f xml:space="preserve"> (AM40 + AM41)</f>
        <v>0</v>
      </c>
      <c r="AN39" s="29">
        <f t="shared" si="3"/>
        <v>0</v>
      </c>
      <c r="AO39" s="29">
        <f xml:space="preserve"> (AO40 + AO41)</f>
        <v>0</v>
      </c>
      <c r="AP39" s="30"/>
      <c r="AQ39" s="30"/>
      <c r="AR39" s="30"/>
      <c r="AS39" s="30"/>
      <c r="AT39" s="29">
        <f xml:space="preserve"> (AT40 + AT41)</f>
        <v>0</v>
      </c>
      <c r="AU39" s="29">
        <f xml:space="preserve"> (AU40 + AU41)</f>
        <v>0</v>
      </c>
      <c r="AV39" s="29">
        <f t="shared" si="4"/>
        <v>0</v>
      </c>
      <c r="AW39" s="29">
        <f t="shared" si="5"/>
        <v>0</v>
      </c>
    </row>
    <row r="40" spans="1:50" ht="11.25" customHeight="1" x14ac:dyDescent="0.2">
      <c r="A40" s="92"/>
      <c r="B40" s="88" t="s">
        <v>16</v>
      </c>
      <c r="C40" s="88" t="s">
        <v>53</v>
      </c>
      <c r="D40" s="88"/>
      <c r="E40" s="88"/>
      <c r="F40" s="88"/>
      <c r="G40" s="90" t="s">
        <v>113</v>
      </c>
      <c r="H40" s="4"/>
      <c r="I40" s="36"/>
      <c r="J40" s="34"/>
      <c r="K40" s="34"/>
      <c r="L40" s="75"/>
      <c r="M40" s="75"/>
      <c r="N40" s="36"/>
      <c r="O40" s="36"/>
      <c r="P40" s="29">
        <f t="shared" si="0"/>
        <v>0</v>
      </c>
      <c r="Q40" s="36"/>
      <c r="R40" s="34"/>
      <c r="S40" s="34"/>
      <c r="T40" s="75"/>
      <c r="U40" s="75"/>
      <c r="V40" s="36"/>
      <c r="W40" s="36"/>
      <c r="X40" s="29">
        <f t="shared" si="1"/>
        <v>0</v>
      </c>
      <c r="Y40" s="36"/>
      <c r="Z40" s="34"/>
      <c r="AA40" s="34"/>
      <c r="AB40" s="75"/>
      <c r="AC40" s="75"/>
      <c r="AD40" s="36"/>
      <c r="AE40" s="36"/>
      <c r="AF40" s="29">
        <f t="shared" si="2"/>
        <v>0</v>
      </c>
      <c r="AG40" s="36"/>
      <c r="AH40" s="34"/>
      <c r="AI40" s="34"/>
      <c r="AJ40" s="75"/>
      <c r="AK40" s="75"/>
      <c r="AL40" s="36"/>
      <c r="AM40" s="36"/>
      <c r="AN40" s="29">
        <f t="shared" si="3"/>
        <v>0</v>
      </c>
      <c r="AO40" s="36"/>
      <c r="AP40" s="34"/>
      <c r="AQ40" s="34"/>
      <c r="AR40" s="34"/>
      <c r="AS40" s="34"/>
      <c r="AT40" s="36"/>
      <c r="AU40" s="36"/>
      <c r="AV40" s="29">
        <f t="shared" si="4"/>
        <v>0</v>
      </c>
      <c r="AW40" s="29">
        <f t="shared" si="5"/>
        <v>0</v>
      </c>
    </row>
    <row r="41" spans="1:50" ht="11.25" customHeight="1" x14ac:dyDescent="0.2">
      <c r="A41" s="92"/>
      <c r="B41" s="88" t="s">
        <v>44</v>
      </c>
      <c r="C41" s="88" t="s">
        <v>54</v>
      </c>
      <c r="D41" s="88"/>
      <c r="E41" s="88"/>
      <c r="F41" s="88"/>
      <c r="G41" s="90" t="s">
        <v>114</v>
      </c>
      <c r="H41" s="4"/>
      <c r="I41" s="36"/>
      <c r="J41" s="34"/>
      <c r="K41" s="34"/>
      <c r="L41" s="75"/>
      <c r="M41" s="75"/>
      <c r="N41" s="36"/>
      <c r="O41" s="36"/>
      <c r="P41" s="29">
        <f t="shared" si="0"/>
        <v>0</v>
      </c>
      <c r="Q41" s="36"/>
      <c r="R41" s="34"/>
      <c r="S41" s="34"/>
      <c r="T41" s="75"/>
      <c r="U41" s="75"/>
      <c r="V41" s="36"/>
      <c r="W41" s="36"/>
      <c r="X41" s="29">
        <f t="shared" si="1"/>
        <v>0</v>
      </c>
      <c r="Y41" s="36"/>
      <c r="Z41" s="34"/>
      <c r="AA41" s="34"/>
      <c r="AB41" s="75"/>
      <c r="AC41" s="75"/>
      <c r="AD41" s="36"/>
      <c r="AE41" s="36"/>
      <c r="AF41" s="29">
        <f t="shared" si="2"/>
        <v>0</v>
      </c>
      <c r="AG41" s="36"/>
      <c r="AH41" s="34"/>
      <c r="AI41" s="34"/>
      <c r="AJ41" s="75"/>
      <c r="AK41" s="75"/>
      <c r="AL41" s="36"/>
      <c r="AM41" s="36"/>
      <c r="AN41" s="29">
        <f t="shared" si="3"/>
        <v>0</v>
      </c>
      <c r="AO41" s="36"/>
      <c r="AP41" s="34"/>
      <c r="AQ41" s="34"/>
      <c r="AR41" s="34"/>
      <c r="AS41" s="34"/>
      <c r="AT41" s="36"/>
      <c r="AU41" s="36"/>
      <c r="AV41" s="29">
        <f t="shared" si="4"/>
        <v>0</v>
      </c>
      <c r="AW41" s="29">
        <f t="shared" si="5"/>
        <v>0</v>
      </c>
    </row>
    <row r="42" spans="1:50" ht="11.25" customHeight="1" x14ac:dyDescent="0.2">
      <c r="A42" s="92" t="s">
        <v>55</v>
      </c>
      <c r="B42" s="91" t="s">
        <v>16</v>
      </c>
      <c r="C42" s="88" t="s">
        <v>56</v>
      </c>
      <c r="D42" s="88"/>
      <c r="E42" s="88"/>
      <c r="F42" s="88"/>
      <c r="G42" s="90" t="s">
        <v>115</v>
      </c>
      <c r="H42" s="4"/>
      <c r="I42" s="36"/>
      <c r="J42" s="34"/>
      <c r="K42" s="34"/>
      <c r="L42" s="75"/>
      <c r="M42" s="75"/>
      <c r="N42" s="36"/>
      <c r="O42" s="36"/>
      <c r="P42" s="29">
        <f t="shared" si="0"/>
        <v>0</v>
      </c>
      <c r="Q42" s="36"/>
      <c r="R42" s="34"/>
      <c r="S42" s="34"/>
      <c r="T42" s="75"/>
      <c r="U42" s="75"/>
      <c r="V42" s="36"/>
      <c r="W42" s="36"/>
      <c r="X42" s="29">
        <f t="shared" si="1"/>
        <v>0</v>
      </c>
      <c r="Y42" s="36"/>
      <c r="Z42" s="34"/>
      <c r="AA42" s="34"/>
      <c r="AB42" s="75"/>
      <c r="AC42" s="75"/>
      <c r="AD42" s="36"/>
      <c r="AE42" s="36"/>
      <c r="AF42" s="29">
        <f t="shared" si="2"/>
        <v>0</v>
      </c>
      <c r="AG42" s="36"/>
      <c r="AH42" s="34"/>
      <c r="AI42" s="34"/>
      <c r="AJ42" s="75"/>
      <c r="AK42" s="75"/>
      <c r="AL42" s="36"/>
      <c r="AM42" s="36"/>
      <c r="AN42" s="29">
        <f t="shared" si="3"/>
        <v>0</v>
      </c>
      <c r="AO42" s="36"/>
      <c r="AP42" s="34"/>
      <c r="AQ42" s="34"/>
      <c r="AR42" s="34"/>
      <c r="AS42" s="34"/>
      <c r="AT42" s="36"/>
      <c r="AU42" s="36"/>
      <c r="AV42" s="29">
        <f t="shared" si="4"/>
        <v>0</v>
      </c>
      <c r="AW42" s="29">
        <f t="shared" si="5"/>
        <v>0</v>
      </c>
    </row>
    <row r="43" spans="1:50" ht="11.25" customHeight="1" x14ac:dyDescent="0.2">
      <c r="A43" s="88"/>
      <c r="B43" s="91" t="s">
        <v>44</v>
      </c>
      <c r="C43" s="88" t="s">
        <v>57</v>
      </c>
      <c r="D43" s="88"/>
      <c r="E43" s="88"/>
      <c r="F43" s="88"/>
      <c r="G43" s="90" t="s">
        <v>116</v>
      </c>
      <c r="H43" s="4"/>
      <c r="I43" s="36"/>
      <c r="J43" s="34"/>
      <c r="K43" s="34"/>
      <c r="L43" s="75"/>
      <c r="M43" s="75"/>
      <c r="N43" s="36"/>
      <c r="O43" s="36"/>
      <c r="P43" s="29">
        <f t="shared" si="0"/>
        <v>0</v>
      </c>
      <c r="Q43" s="36"/>
      <c r="R43" s="34"/>
      <c r="S43" s="34"/>
      <c r="T43" s="75"/>
      <c r="U43" s="75"/>
      <c r="V43" s="36"/>
      <c r="W43" s="36"/>
      <c r="X43" s="29">
        <f t="shared" si="1"/>
        <v>0</v>
      </c>
      <c r="Y43" s="36"/>
      <c r="Z43" s="34"/>
      <c r="AA43" s="34"/>
      <c r="AB43" s="75"/>
      <c r="AC43" s="75"/>
      <c r="AD43" s="36"/>
      <c r="AE43" s="36"/>
      <c r="AF43" s="29">
        <f t="shared" si="2"/>
        <v>0</v>
      </c>
      <c r="AG43" s="36"/>
      <c r="AH43" s="34"/>
      <c r="AI43" s="34"/>
      <c r="AJ43" s="75"/>
      <c r="AK43" s="75"/>
      <c r="AL43" s="36"/>
      <c r="AM43" s="36"/>
      <c r="AN43" s="29">
        <f t="shared" si="3"/>
        <v>0</v>
      </c>
      <c r="AO43" s="36"/>
      <c r="AP43" s="34"/>
      <c r="AQ43" s="34"/>
      <c r="AR43" s="34"/>
      <c r="AS43" s="34"/>
      <c r="AT43" s="36"/>
      <c r="AU43" s="36"/>
      <c r="AV43" s="29">
        <f t="shared" si="4"/>
        <v>0</v>
      </c>
      <c r="AW43" s="29">
        <f t="shared" si="5"/>
        <v>0</v>
      </c>
    </row>
    <row r="44" spans="1:50" ht="11.25" customHeight="1" x14ac:dyDescent="0.2">
      <c r="A44" s="92" t="s">
        <v>58</v>
      </c>
      <c r="B44" s="88" t="s">
        <v>59</v>
      </c>
      <c r="C44" s="88"/>
      <c r="D44" s="88"/>
      <c r="E44" s="88"/>
      <c r="F44" s="88"/>
      <c r="G44" s="90" t="s">
        <v>117</v>
      </c>
      <c r="H44" s="4"/>
      <c r="I44" s="29">
        <f xml:space="preserve"> (I45 + I46 + I47)</f>
        <v>0</v>
      </c>
      <c r="J44" s="30"/>
      <c r="K44" s="30"/>
      <c r="L44" s="61">
        <f xml:space="preserve"> (L45 + L46 + L47)</f>
        <v>0</v>
      </c>
      <c r="M44" s="61">
        <f xml:space="preserve"> (M45 + M46 + M47)</f>
        <v>0</v>
      </c>
      <c r="N44" s="29">
        <f xml:space="preserve"> (N45 + N46 + N47)</f>
        <v>0</v>
      </c>
      <c r="O44" s="29">
        <f xml:space="preserve"> (O45 + O46 + O47)</f>
        <v>0</v>
      </c>
      <c r="P44" s="29">
        <f t="shared" si="0"/>
        <v>0</v>
      </c>
      <c r="Q44" s="29">
        <f xml:space="preserve"> (Q45 + Q46 + Q47)</f>
        <v>0</v>
      </c>
      <c r="R44" s="30"/>
      <c r="S44" s="30"/>
      <c r="T44" s="61">
        <f xml:space="preserve"> (T45 + T46 + T47)</f>
        <v>0</v>
      </c>
      <c r="U44" s="61">
        <f xml:space="preserve"> (U45 + U46 + U47)</f>
        <v>0</v>
      </c>
      <c r="V44" s="29">
        <f xml:space="preserve"> (V45 + V46 + V47)</f>
        <v>0</v>
      </c>
      <c r="W44" s="29">
        <f xml:space="preserve"> (W45 + W46 + W47)</f>
        <v>0</v>
      </c>
      <c r="X44" s="29">
        <f t="shared" si="1"/>
        <v>0</v>
      </c>
      <c r="Y44" s="29">
        <f xml:space="preserve"> (Y45 + Y46 + Y47)</f>
        <v>0</v>
      </c>
      <c r="Z44" s="30"/>
      <c r="AA44" s="30"/>
      <c r="AB44" s="61">
        <f xml:space="preserve"> (AB45 + AB46 + AB47)</f>
        <v>0</v>
      </c>
      <c r="AC44" s="61">
        <f xml:space="preserve"> (AC45 + AC46 + AC47)</f>
        <v>0</v>
      </c>
      <c r="AD44" s="29">
        <f xml:space="preserve"> (AD45 + AD46 + AD47)</f>
        <v>0</v>
      </c>
      <c r="AE44" s="29">
        <f xml:space="preserve"> (AE45 + AE46 + AE47)</f>
        <v>0</v>
      </c>
      <c r="AF44" s="29">
        <f t="shared" si="2"/>
        <v>0</v>
      </c>
      <c r="AG44" s="29">
        <f xml:space="preserve"> (AG45 + AG46 + AG47)</f>
        <v>0</v>
      </c>
      <c r="AH44" s="30"/>
      <c r="AI44" s="30"/>
      <c r="AJ44" s="61">
        <f xml:space="preserve"> (AJ45 + AJ46 + AJ47)</f>
        <v>0</v>
      </c>
      <c r="AK44" s="61">
        <f xml:space="preserve"> (AK45 + AK46 + AK47)</f>
        <v>0</v>
      </c>
      <c r="AL44" s="29">
        <f xml:space="preserve"> (AL45 + AL46 + AL47)</f>
        <v>0</v>
      </c>
      <c r="AM44" s="29">
        <f xml:space="preserve"> (AM45 + AM46 + AM47)</f>
        <v>0</v>
      </c>
      <c r="AN44" s="29">
        <f t="shared" si="3"/>
        <v>0</v>
      </c>
      <c r="AO44" s="29">
        <f xml:space="preserve"> (AO45 + AO46 + AO47)</f>
        <v>0</v>
      </c>
      <c r="AP44" s="30"/>
      <c r="AQ44" s="30"/>
      <c r="AR44" s="30"/>
      <c r="AS44" s="30"/>
      <c r="AT44" s="29">
        <f xml:space="preserve"> (AT45 + AT46 + AT47)</f>
        <v>0</v>
      </c>
      <c r="AU44" s="29">
        <f xml:space="preserve"> (AU45 + AU46 + AU47)</f>
        <v>0</v>
      </c>
      <c r="AV44" s="29">
        <f t="shared" si="4"/>
        <v>0</v>
      </c>
      <c r="AW44" s="29">
        <f t="shared" si="5"/>
        <v>0</v>
      </c>
    </row>
    <row r="45" spans="1:50" ht="11.25" customHeight="1" x14ac:dyDescent="0.2">
      <c r="A45" s="88"/>
      <c r="B45" s="91" t="s">
        <v>16</v>
      </c>
      <c r="C45" s="97" t="s">
        <v>60</v>
      </c>
      <c r="D45" s="88"/>
      <c r="E45" s="88"/>
      <c r="F45" s="88"/>
      <c r="G45" s="90" t="s">
        <v>118</v>
      </c>
      <c r="H45" s="4"/>
      <c r="I45" s="36"/>
      <c r="J45" s="34"/>
      <c r="K45" s="34"/>
      <c r="L45" s="75"/>
      <c r="M45" s="75"/>
      <c r="N45" s="36"/>
      <c r="O45" s="36"/>
      <c r="P45" s="29">
        <f t="shared" si="0"/>
        <v>0</v>
      </c>
      <c r="Q45" s="36"/>
      <c r="R45" s="34"/>
      <c r="S45" s="34"/>
      <c r="T45" s="75"/>
      <c r="U45" s="75"/>
      <c r="V45" s="36"/>
      <c r="W45" s="36"/>
      <c r="X45" s="29">
        <f t="shared" si="1"/>
        <v>0</v>
      </c>
      <c r="Y45" s="36"/>
      <c r="Z45" s="34"/>
      <c r="AA45" s="34"/>
      <c r="AB45" s="75"/>
      <c r="AC45" s="75"/>
      <c r="AD45" s="36"/>
      <c r="AE45" s="36"/>
      <c r="AF45" s="29">
        <f t="shared" si="2"/>
        <v>0</v>
      </c>
      <c r="AG45" s="36"/>
      <c r="AH45" s="34"/>
      <c r="AI45" s="34"/>
      <c r="AJ45" s="75"/>
      <c r="AK45" s="75"/>
      <c r="AL45" s="36"/>
      <c r="AM45" s="36"/>
      <c r="AN45" s="29">
        <f t="shared" si="3"/>
        <v>0</v>
      </c>
      <c r="AO45" s="36"/>
      <c r="AP45" s="34"/>
      <c r="AQ45" s="34"/>
      <c r="AR45" s="34"/>
      <c r="AS45" s="34"/>
      <c r="AT45" s="36"/>
      <c r="AU45" s="36"/>
      <c r="AV45" s="29">
        <f t="shared" si="4"/>
        <v>0</v>
      </c>
      <c r="AW45" s="29">
        <f t="shared" si="5"/>
        <v>0</v>
      </c>
    </row>
    <row r="46" spans="1:50" ht="11.25" customHeight="1" x14ac:dyDescent="0.2">
      <c r="A46" s="88"/>
      <c r="B46" s="91" t="s">
        <v>44</v>
      </c>
      <c r="C46" s="88" t="s">
        <v>61</v>
      </c>
      <c r="D46" s="98"/>
      <c r="E46" s="98"/>
      <c r="F46" s="98"/>
      <c r="G46" s="99" t="s">
        <v>119</v>
      </c>
      <c r="H46" s="35"/>
      <c r="I46" s="36"/>
      <c r="J46" s="34"/>
      <c r="K46" s="34"/>
      <c r="L46" s="75"/>
      <c r="M46" s="75"/>
      <c r="N46" s="36"/>
      <c r="O46" s="36"/>
      <c r="P46" s="29">
        <f t="shared" si="0"/>
        <v>0</v>
      </c>
      <c r="Q46" s="36"/>
      <c r="R46" s="34"/>
      <c r="S46" s="34"/>
      <c r="T46" s="75"/>
      <c r="U46" s="75"/>
      <c r="V46" s="36"/>
      <c r="W46" s="36"/>
      <c r="X46" s="29">
        <f t="shared" si="1"/>
        <v>0</v>
      </c>
      <c r="Y46" s="36"/>
      <c r="Z46" s="34"/>
      <c r="AA46" s="34"/>
      <c r="AB46" s="75"/>
      <c r="AC46" s="75"/>
      <c r="AD46" s="36"/>
      <c r="AE46" s="36"/>
      <c r="AF46" s="29">
        <f t="shared" si="2"/>
        <v>0</v>
      </c>
      <c r="AG46" s="36"/>
      <c r="AH46" s="34"/>
      <c r="AI46" s="34"/>
      <c r="AJ46" s="75"/>
      <c r="AK46" s="75"/>
      <c r="AL46" s="36"/>
      <c r="AM46" s="36"/>
      <c r="AN46" s="29">
        <f t="shared" si="3"/>
        <v>0</v>
      </c>
      <c r="AO46" s="36"/>
      <c r="AP46" s="34"/>
      <c r="AQ46" s="34"/>
      <c r="AR46" s="34"/>
      <c r="AS46" s="34"/>
      <c r="AT46" s="36"/>
      <c r="AU46" s="36"/>
      <c r="AV46" s="29">
        <f t="shared" si="4"/>
        <v>0</v>
      </c>
      <c r="AW46" s="29">
        <f t="shared" si="5"/>
        <v>0</v>
      </c>
    </row>
    <row r="47" spans="1:50" ht="11.25" customHeight="1" x14ac:dyDescent="0.2">
      <c r="A47" s="88"/>
      <c r="B47" s="91" t="s">
        <v>62</v>
      </c>
      <c r="C47" s="88" t="s">
        <v>63</v>
      </c>
      <c r="D47" s="88"/>
      <c r="E47" s="88"/>
      <c r="F47" s="88"/>
      <c r="G47" s="90" t="s">
        <v>120</v>
      </c>
      <c r="H47" s="4"/>
      <c r="I47" s="36"/>
      <c r="J47" s="34"/>
      <c r="K47" s="34"/>
      <c r="L47" s="75"/>
      <c r="M47" s="75"/>
      <c r="N47" s="36"/>
      <c r="O47" s="36"/>
      <c r="P47" s="29">
        <f t="shared" si="0"/>
        <v>0</v>
      </c>
      <c r="Q47" s="36"/>
      <c r="R47" s="34"/>
      <c r="S47" s="34"/>
      <c r="T47" s="75"/>
      <c r="U47" s="75"/>
      <c r="V47" s="36"/>
      <c r="W47" s="36"/>
      <c r="X47" s="29">
        <f t="shared" si="1"/>
        <v>0</v>
      </c>
      <c r="Y47" s="36"/>
      <c r="Z47" s="34"/>
      <c r="AA47" s="34"/>
      <c r="AB47" s="75"/>
      <c r="AC47" s="75"/>
      <c r="AD47" s="36"/>
      <c r="AE47" s="36"/>
      <c r="AF47" s="29">
        <f t="shared" si="2"/>
        <v>0</v>
      </c>
      <c r="AG47" s="36"/>
      <c r="AH47" s="34"/>
      <c r="AI47" s="34"/>
      <c r="AJ47" s="75"/>
      <c r="AK47" s="75"/>
      <c r="AL47" s="36"/>
      <c r="AM47" s="36"/>
      <c r="AN47" s="29">
        <f t="shared" si="3"/>
        <v>0</v>
      </c>
      <c r="AO47" s="36"/>
      <c r="AP47" s="34"/>
      <c r="AQ47" s="34"/>
      <c r="AR47" s="34"/>
      <c r="AS47" s="34"/>
      <c r="AT47" s="36"/>
      <c r="AU47" s="36"/>
      <c r="AV47" s="29">
        <f t="shared" si="4"/>
        <v>0</v>
      </c>
      <c r="AW47" s="29">
        <f t="shared" si="5"/>
        <v>0</v>
      </c>
      <c r="AX47" s="6"/>
    </row>
    <row r="48" spans="1:50" x14ac:dyDescent="0.2">
      <c r="G48" s="72" t="s">
        <v>143</v>
      </c>
    </row>
  </sheetData>
  <sheetProtection sheet="1" objects="1" scenarios="1" selectLockedCells="1"/>
  <mergeCells count="39">
    <mergeCell ref="G7:G9"/>
    <mergeCell ref="A3:AW3"/>
    <mergeCell ref="A4:AW4"/>
    <mergeCell ref="A5:AW5"/>
    <mergeCell ref="A6:AW6"/>
    <mergeCell ref="AJ8:AK8"/>
    <mergeCell ref="Y7:AF7"/>
    <mergeCell ref="AG7:AN7"/>
    <mergeCell ref="AO7:AV7"/>
    <mergeCell ref="I7:P7"/>
    <mergeCell ref="A1:AW1"/>
    <mergeCell ref="A2:AW2"/>
    <mergeCell ref="L8:M8"/>
    <mergeCell ref="P8:P9"/>
    <mergeCell ref="AG8:AG9"/>
    <mergeCell ref="I8:I9"/>
    <mergeCell ref="A7:F9"/>
    <mergeCell ref="AV8:AV9"/>
    <mergeCell ref="AO8:AO9"/>
    <mergeCell ref="Q7:X7"/>
    <mergeCell ref="AW7:AW9"/>
    <mergeCell ref="Q8:Q9"/>
    <mergeCell ref="T8:U8"/>
    <mergeCell ref="X8:X9"/>
    <mergeCell ref="Y8:Y9"/>
    <mergeCell ref="AB8:AC8"/>
    <mergeCell ref="AF8:AF9"/>
    <mergeCell ref="AN8:AN9"/>
    <mergeCell ref="AR8:AS8"/>
    <mergeCell ref="AT8:AU8"/>
    <mergeCell ref="AP8:AQ8"/>
    <mergeCell ref="J8:K8"/>
    <mergeCell ref="R8:S8"/>
    <mergeCell ref="Z8:AA8"/>
    <mergeCell ref="AH8:AI8"/>
    <mergeCell ref="N8:O8"/>
    <mergeCell ref="V8:W8"/>
    <mergeCell ref="AD8:AE8"/>
    <mergeCell ref="AL8:AM8"/>
  </mergeCells>
  <phoneticPr fontId="0" type="noConversion"/>
  <dataValidations count="1">
    <dataValidation allowBlank="1" showInputMessage="1" showErrorMessage="1" sqref="I10:AW47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22_x000D_&amp;U &amp;"Arial,Bold" &amp;P &amp;"Arial,Regular"of &amp;"Arial,Bold"&amp;N&amp;C&amp;"Arial,Bold"&amp;8 NEW RURAL BANK OF SAN LEONARDO INC.  [ 04-006056 ]
 As of: June 30, 2016</oddHeader>
  </headerFooter>
  <colBreaks count="1" manualBreakCount="1">
    <brk id="52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33"/>
  <sheetViews>
    <sheetView zoomScale="85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C1"/>
    </sheetView>
  </sheetViews>
  <sheetFormatPr defaultRowHeight="11.25" x14ac:dyDescent="0.2"/>
  <cols>
    <col min="1" max="1" width="46.5703125" style="1" customWidth="1"/>
    <col min="2" max="2" width="9.5703125" style="1" hidden="1" customWidth="1"/>
    <col min="3" max="3" width="7" style="1" hidden="1" customWidth="1"/>
    <col min="4" max="5" width="3.42578125" style="1" hidden="1" customWidth="1"/>
    <col min="6" max="6" width="4.5703125" style="1" hidden="1" customWidth="1"/>
    <col min="7" max="7" width="18.140625" style="7" customWidth="1"/>
    <col min="8" max="8" width="16.5703125" style="7" hidden="1" customWidth="1"/>
    <col min="9" max="9" width="8.7109375" style="23" customWidth="1"/>
    <col min="10" max="10" width="17.7109375" style="8" customWidth="1"/>
    <col min="11" max="11" width="8.7109375" style="1" customWidth="1"/>
    <col min="12" max="13" width="17.7109375" style="1" customWidth="1"/>
    <col min="14" max="14" width="8.7109375" style="1" hidden="1" customWidth="1"/>
    <col min="15" max="16" width="17.7109375" style="1" hidden="1" customWidth="1"/>
    <col min="17" max="17" width="8.7109375" style="1" customWidth="1"/>
    <col min="18" max="18" width="17.7109375" style="1" customWidth="1"/>
    <col min="19" max="19" width="8.7109375" style="1" customWidth="1"/>
    <col min="20" max="21" width="17.7109375" style="1" customWidth="1"/>
    <col min="22" max="22" width="8.7109375" style="1" hidden="1" customWidth="1"/>
    <col min="23" max="24" width="17.7109375" style="1" hidden="1" customWidth="1"/>
    <col min="25" max="25" width="8.7109375" style="1" customWidth="1"/>
    <col min="26" max="26" width="17.7109375" style="1" customWidth="1"/>
    <col min="27" max="27" width="8.7109375" style="1" customWidth="1"/>
    <col min="28" max="29" width="17.7109375" style="1" customWidth="1"/>
    <col min="30" max="30" width="8.7109375" style="1" hidden="1" customWidth="1"/>
    <col min="31" max="32" width="17.7109375" style="1" hidden="1" customWidth="1"/>
    <col min="33" max="33" width="8.7109375" style="1" customWidth="1"/>
    <col min="34" max="34" width="17.7109375" style="1" customWidth="1"/>
    <col min="35" max="35" width="8.7109375" style="1" customWidth="1"/>
    <col min="36" max="37" width="17.7109375" style="1" customWidth="1"/>
    <col min="38" max="38" width="8.7109375" style="1" hidden="1" customWidth="1"/>
    <col min="39" max="40" width="17.7109375" style="1" hidden="1" customWidth="1"/>
    <col min="41" max="41" width="8.7109375" style="1" customWidth="1"/>
    <col min="42" max="42" width="17.7109375" style="1" customWidth="1"/>
    <col min="43" max="43" width="8.7109375" style="1" customWidth="1"/>
    <col min="44" max="45" width="17.7109375" style="5" customWidth="1"/>
    <col min="46" max="46" width="8.7109375" style="5" hidden="1" customWidth="1"/>
    <col min="47" max="48" width="17.7109375" style="5" hidden="1" customWidth="1"/>
    <col min="49" max="49" width="8.7109375" style="5" customWidth="1"/>
    <col min="50" max="50" width="17.7109375" style="1" customWidth="1"/>
    <col min="51" max="51" width="8.7109375" style="1" customWidth="1"/>
    <col min="52" max="53" width="17.7109375" style="1" customWidth="1"/>
    <col min="54" max="54" width="8.7109375" style="1" hidden="1" customWidth="1"/>
    <col min="55" max="56" width="17.7109375" style="1" hidden="1" customWidth="1"/>
    <col min="57" max="16384" width="9.140625" style="1"/>
  </cols>
  <sheetData>
    <row r="1" spans="1:61" ht="12.75" x14ac:dyDescent="0.2">
      <c r="A1" s="119" t="s">
        <v>138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20"/>
      <c r="AE1" s="20"/>
      <c r="AF1" s="20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20"/>
      <c r="BC1" s="20"/>
      <c r="BD1" s="20"/>
      <c r="BE1" s="20"/>
      <c r="BF1" s="20"/>
      <c r="BG1" s="20"/>
      <c r="BH1" s="20"/>
      <c r="BI1" s="20"/>
    </row>
    <row r="2" spans="1:61" hidden="1" x14ac:dyDescent="0.2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</row>
    <row r="3" spans="1:61" hidden="1" x14ac:dyDescent="0.2">
      <c r="A3" s="133"/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3"/>
      <c r="AZ3" s="133"/>
      <c r="BA3" s="133"/>
    </row>
    <row r="4" spans="1:61" hidden="1" x14ac:dyDescent="0.2">
      <c r="A4" s="133"/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  <c r="AQ4" s="133"/>
      <c r="AR4" s="133"/>
      <c r="AS4" s="133"/>
      <c r="AT4" s="133"/>
      <c r="AU4" s="133"/>
      <c r="AV4" s="133"/>
      <c r="AW4" s="133"/>
      <c r="AX4" s="133"/>
      <c r="AY4" s="133"/>
      <c r="AZ4" s="133"/>
      <c r="BA4" s="133"/>
    </row>
    <row r="5" spans="1:61" hidden="1" x14ac:dyDescent="0.2">
      <c r="A5" s="133"/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3"/>
      <c r="AZ5" s="133"/>
      <c r="BA5" s="133"/>
    </row>
    <row r="6" spans="1:61" x14ac:dyDescent="0.2">
      <c r="A6" s="133"/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  <c r="AA6" s="133"/>
      <c r="AB6" s="133"/>
      <c r="AC6" s="133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3"/>
      <c r="AT6" s="133"/>
      <c r="AU6" s="133"/>
      <c r="AV6" s="133"/>
      <c r="AW6" s="133"/>
      <c r="AX6" s="133"/>
      <c r="AY6" s="133"/>
      <c r="AZ6" s="133"/>
      <c r="BA6" s="133"/>
    </row>
    <row r="7" spans="1:61" ht="11.25" customHeight="1" x14ac:dyDescent="0.2">
      <c r="A7" s="151" t="s">
        <v>64</v>
      </c>
      <c r="B7" s="100"/>
      <c r="C7" s="100"/>
      <c r="D7" s="100"/>
      <c r="E7" s="100"/>
      <c r="F7" s="100"/>
      <c r="G7" s="154" t="s">
        <v>4</v>
      </c>
      <c r="H7" s="16"/>
      <c r="I7" s="136" t="s">
        <v>5</v>
      </c>
      <c r="J7" s="137"/>
      <c r="K7" s="137"/>
      <c r="L7" s="137"/>
      <c r="M7" s="137"/>
      <c r="N7" s="139"/>
      <c r="O7" s="139"/>
      <c r="P7" s="140"/>
      <c r="Q7" s="136" t="s">
        <v>6</v>
      </c>
      <c r="R7" s="137"/>
      <c r="S7" s="137"/>
      <c r="T7" s="137"/>
      <c r="U7" s="137"/>
      <c r="V7" s="139"/>
      <c r="W7" s="139"/>
      <c r="X7" s="140"/>
      <c r="Y7" s="136" t="s">
        <v>7</v>
      </c>
      <c r="Z7" s="137"/>
      <c r="AA7" s="137"/>
      <c r="AB7" s="137"/>
      <c r="AC7" s="137"/>
      <c r="AD7" s="139"/>
      <c r="AE7" s="139"/>
      <c r="AF7" s="140"/>
      <c r="AG7" s="136" t="s">
        <v>65</v>
      </c>
      <c r="AH7" s="137"/>
      <c r="AI7" s="137"/>
      <c r="AJ7" s="137"/>
      <c r="AK7" s="137"/>
      <c r="AL7" s="139"/>
      <c r="AM7" s="139"/>
      <c r="AN7" s="140"/>
      <c r="AO7" s="136" t="s">
        <v>9</v>
      </c>
      <c r="AP7" s="137"/>
      <c r="AQ7" s="137"/>
      <c r="AR7" s="137"/>
      <c r="AS7" s="137"/>
      <c r="AT7" s="139"/>
      <c r="AU7" s="139"/>
      <c r="AV7" s="140"/>
      <c r="AW7" s="115" t="s">
        <v>13</v>
      </c>
      <c r="AX7" s="115"/>
      <c r="AY7" s="115"/>
      <c r="AZ7" s="115"/>
      <c r="BA7" s="115"/>
      <c r="BB7" s="135"/>
      <c r="BC7" s="135"/>
      <c r="BD7" s="135"/>
    </row>
    <row r="8" spans="1:61" x14ac:dyDescent="0.2">
      <c r="A8" s="152"/>
      <c r="B8" s="101"/>
      <c r="C8" s="101"/>
      <c r="D8" s="101"/>
      <c r="E8" s="101"/>
      <c r="F8" s="101"/>
      <c r="G8" s="154"/>
      <c r="H8" s="17"/>
      <c r="I8" s="144" t="s">
        <v>11</v>
      </c>
      <c r="J8" s="145"/>
      <c r="K8" s="144" t="s">
        <v>12</v>
      </c>
      <c r="L8" s="146"/>
      <c r="M8" s="145"/>
      <c r="N8" s="136" t="s">
        <v>139</v>
      </c>
      <c r="O8" s="139"/>
      <c r="P8" s="140"/>
      <c r="Q8" s="144" t="s">
        <v>11</v>
      </c>
      <c r="R8" s="145"/>
      <c r="S8" s="144" t="s">
        <v>12</v>
      </c>
      <c r="T8" s="146"/>
      <c r="U8" s="145"/>
      <c r="V8" s="136" t="s">
        <v>139</v>
      </c>
      <c r="W8" s="137"/>
      <c r="X8" s="138"/>
      <c r="Y8" s="144" t="s">
        <v>11</v>
      </c>
      <c r="Z8" s="145"/>
      <c r="AA8" s="144" t="s">
        <v>12</v>
      </c>
      <c r="AB8" s="146"/>
      <c r="AC8" s="145"/>
      <c r="AD8" s="136" t="s">
        <v>139</v>
      </c>
      <c r="AE8" s="137"/>
      <c r="AF8" s="138"/>
      <c r="AG8" s="144" t="s">
        <v>11</v>
      </c>
      <c r="AH8" s="145"/>
      <c r="AI8" s="144" t="s">
        <v>12</v>
      </c>
      <c r="AJ8" s="146"/>
      <c r="AK8" s="145"/>
      <c r="AL8" s="136" t="s">
        <v>139</v>
      </c>
      <c r="AM8" s="137"/>
      <c r="AN8" s="138"/>
      <c r="AO8" s="144" t="s">
        <v>11</v>
      </c>
      <c r="AP8" s="145"/>
      <c r="AQ8" s="148" t="s">
        <v>12</v>
      </c>
      <c r="AR8" s="149"/>
      <c r="AS8" s="150"/>
      <c r="AT8" s="141" t="s">
        <v>139</v>
      </c>
      <c r="AU8" s="142"/>
      <c r="AV8" s="143"/>
      <c r="AW8" s="144" t="s">
        <v>11</v>
      </c>
      <c r="AX8" s="145"/>
      <c r="AY8" s="144" t="s">
        <v>12</v>
      </c>
      <c r="AZ8" s="146"/>
      <c r="BA8" s="146"/>
      <c r="BB8" s="134" t="s">
        <v>139</v>
      </c>
      <c r="BC8" s="134"/>
      <c r="BD8" s="134"/>
    </row>
    <row r="9" spans="1:61" ht="22.5" x14ac:dyDescent="0.2">
      <c r="A9" s="153"/>
      <c r="B9" s="102"/>
      <c r="C9" s="102"/>
      <c r="D9" s="102"/>
      <c r="E9" s="102"/>
      <c r="F9" s="102"/>
      <c r="G9" s="154"/>
      <c r="H9" s="18"/>
      <c r="I9" s="9" t="s">
        <v>66</v>
      </c>
      <c r="J9" s="69" t="s">
        <v>67</v>
      </c>
      <c r="K9" s="9" t="s">
        <v>66</v>
      </c>
      <c r="L9" s="10" t="s">
        <v>14</v>
      </c>
      <c r="M9" s="3" t="s">
        <v>15</v>
      </c>
      <c r="N9" s="9" t="s">
        <v>66</v>
      </c>
      <c r="O9" s="10" t="s">
        <v>14</v>
      </c>
      <c r="P9" s="3" t="s">
        <v>15</v>
      </c>
      <c r="Q9" s="9" t="s">
        <v>66</v>
      </c>
      <c r="R9" s="69" t="s">
        <v>67</v>
      </c>
      <c r="S9" s="9" t="s">
        <v>66</v>
      </c>
      <c r="T9" s="10" t="s">
        <v>14</v>
      </c>
      <c r="U9" s="3" t="s">
        <v>15</v>
      </c>
      <c r="V9" s="9" t="s">
        <v>66</v>
      </c>
      <c r="W9" s="10" t="s">
        <v>14</v>
      </c>
      <c r="X9" s="3" t="s">
        <v>15</v>
      </c>
      <c r="Y9" s="9" t="s">
        <v>66</v>
      </c>
      <c r="Z9" s="69" t="s">
        <v>67</v>
      </c>
      <c r="AA9" s="9" t="s">
        <v>66</v>
      </c>
      <c r="AB9" s="10" t="s">
        <v>14</v>
      </c>
      <c r="AC9" s="3" t="s">
        <v>15</v>
      </c>
      <c r="AD9" s="9" t="s">
        <v>66</v>
      </c>
      <c r="AE9" s="10" t="s">
        <v>14</v>
      </c>
      <c r="AF9" s="3" t="s">
        <v>15</v>
      </c>
      <c r="AG9" s="9" t="s">
        <v>66</v>
      </c>
      <c r="AH9" s="69" t="s">
        <v>67</v>
      </c>
      <c r="AI9" s="9" t="s">
        <v>66</v>
      </c>
      <c r="AJ9" s="10" t="s">
        <v>14</v>
      </c>
      <c r="AK9" s="3" t="s">
        <v>15</v>
      </c>
      <c r="AL9" s="9" t="s">
        <v>66</v>
      </c>
      <c r="AM9" s="10" t="s">
        <v>14</v>
      </c>
      <c r="AN9" s="3" t="s">
        <v>15</v>
      </c>
      <c r="AO9" s="9" t="s">
        <v>66</v>
      </c>
      <c r="AP9" s="69" t="s">
        <v>67</v>
      </c>
      <c r="AQ9" s="9" t="s">
        <v>66</v>
      </c>
      <c r="AR9" s="11" t="s">
        <v>14</v>
      </c>
      <c r="AS9" s="12" t="s">
        <v>15</v>
      </c>
      <c r="AT9" s="9" t="s">
        <v>66</v>
      </c>
      <c r="AU9" s="11" t="s">
        <v>14</v>
      </c>
      <c r="AV9" s="12" t="s">
        <v>15</v>
      </c>
      <c r="AW9" s="9" t="s">
        <v>66</v>
      </c>
      <c r="AX9" s="69" t="s">
        <v>67</v>
      </c>
      <c r="AY9" s="9" t="s">
        <v>66</v>
      </c>
      <c r="AZ9" s="10" t="s">
        <v>14</v>
      </c>
      <c r="BA9" s="55" t="s">
        <v>15</v>
      </c>
      <c r="BB9" s="56" t="s">
        <v>66</v>
      </c>
      <c r="BC9" s="10" t="s">
        <v>14</v>
      </c>
      <c r="BD9" s="2" t="s">
        <v>15</v>
      </c>
    </row>
    <row r="10" spans="1:61" x14ac:dyDescent="0.2">
      <c r="A10" s="103" t="s">
        <v>406</v>
      </c>
      <c r="B10" s="104">
        <v>0</v>
      </c>
      <c r="C10" s="104">
        <v>5000</v>
      </c>
      <c r="D10" s="103"/>
      <c r="E10" s="103"/>
      <c r="F10" s="103"/>
      <c r="G10" s="87" t="s">
        <v>407</v>
      </c>
      <c r="H10" s="38"/>
      <c r="I10" s="50">
        <v>0</v>
      </c>
      <c r="J10" s="70"/>
      <c r="K10" s="78">
        <v>0</v>
      </c>
      <c r="L10" s="66"/>
      <c r="M10" s="66"/>
      <c r="N10" s="71">
        <v>0</v>
      </c>
      <c r="O10" s="51"/>
      <c r="P10" s="51"/>
      <c r="Q10" s="52">
        <v>0</v>
      </c>
      <c r="R10" s="51"/>
      <c r="S10" s="79">
        <v>0</v>
      </c>
      <c r="T10" s="66"/>
      <c r="U10" s="66"/>
      <c r="V10" s="44">
        <v>0</v>
      </c>
      <c r="W10" s="54"/>
      <c r="X10" s="54"/>
      <c r="Y10" s="52">
        <v>0</v>
      </c>
      <c r="Z10" s="51"/>
      <c r="AA10" s="79">
        <v>0</v>
      </c>
      <c r="AB10" s="66"/>
      <c r="AC10" s="66"/>
      <c r="AD10" s="44">
        <v>0</v>
      </c>
      <c r="AE10" s="54"/>
      <c r="AF10" s="54"/>
      <c r="AG10" s="52">
        <v>0</v>
      </c>
      <c r="AH10" s="51"/>
      <c r="AI10" s="79">
        <v>0</v>
      </c>
      <c r="AJ10" s="66"/>
      <c r="AK10" s="66"/>
      <c r="AL10" s="44">
        <v>0</v>
      </c>
      <c r="AM10" s="54"/>
      <c r="AN10" s="54"/>
      <c r="AO10" s="52">
        <v>0</v>
      </c>
      <c r="AP10" s="51"/>
      <c r="AQ10" s="39"/>
      <c r="AR10" s="40"/>
      <c r="AS10" s="40"/>
      <c r="AT10" s="60">
        <v>0</v>
      </c>
      <c r="AU10" s="37"/>
      <c r="AV10" s="37"/>
      <c r="AW10" s="41">
        <f t="shared" ref="AW10:BD12" si="0">I10+Q10+Y10+AG10+AO10</f>
        <v>0</v>
      </c>
      <c r="AX10" s="42">
        <f t="shared" si="0"/>
        <v>0</v>
      </c>
      <c r="AY10" s="81">
        <f t="shared" si="0"/>
        <v>0</v>
      </c>
      <c r="AZ10" s="77">
        <f t="shared" si="0"/>
        <v>0</v>
      </c>
      <c r="BA10" s="77">
        <f t="shared" si="0"/>
        <v>0</v>
      </c>
      <c r="BB10" s="41">
        <f t="shared" si="0"/>
        <v>0</v>
      </c>
      <c r="BC10" s="42">
        <f t="shared" si="0"/>
        <v>0</v>
      </c>
      <c r="BD10" s="42">
        <f t="shared" si="0"/>
        <v>0</v>
      </c>
    </row>
    <row r="11" spans="1:61" x14ac:dyDescent="0.2">
      <c r="A11" s="103" t="s">
        <v>412</v>
      </c>
      <c r="B11" s="104">
        <v>5000.01</v>
      </c>
      <c r="C11" s="104">
        <v>10000</v>
      </c>
      <c r="D11" s="103"/>
      <c r="E11" s="103"/>
      <c r="F11" s="103"/>
      <c r="G11" s="87" t="s">
        <v>408</v>
      </c>
      <c r="H11" s="38"/>
      <c r="I11" s="53">
        <v>0</v>
      </c>
      <c r="J11" s="51"/>
      <c r="K11" s="78">
        <v>0</v>
      </c>
      <c r="L11" s="66"/>
      <c r="M11" s="66"/>
      <c r="N11" s="44">
        <v>0</v>
      </c>
      <c r="O11" s="54"/>
      <c r="P11" s="54"/>
      <c r="Q11" s="52">
        <v>0</v>
      </c>
      <c r="R11" s="51"/>
      <c r="S11" s="79">
        <v>0</v>
      </c>
      <c r="T11" s="66"/>
      <c r="U11" s="66"/>
      <c r="V11" s="44">
        <v>0</v>
      </c>
      <c r="W11" s="54"/>
      <c r="X11" s="54"/>
      <c r="Y11" s="52">
        <v>0</v>
      </c>
      <c r="Z11" s="51"/>
      <c r="AA11" s="79">
        <v>0</v>
      </c>
      <c r="AB11" s="66"/>
      <c r="AC11" s="66"/>
      <c r="AD11" s="44">
        <v>0</v>
      </c>
      <c r="AE11" s="54"/>
      <c r="AF11" s="54"/>
      <c r="AG11" s="52">
        <v>0</v>
      </c>
      <c r="AH11" s="51"/>
      <c r="AI11" s="79">
        <v>0</v>
      </c>
      <c r="AJ11" s="66"/>
      <c r="AK11" s="66"/>
      <c r="AL11" s="44">
        <v>0</v>
      </c>
      <c r="AM11" s="54"/>
      <c r="AN11" s="54"/>
      <c r="AO11" s="52">
        <v>0</v>
      </c>
      <c r="AP11" s="51"/>
      <c r="AQ11" s="39"/>
      <c r="AR11" s="40"/>
      <c r="AS11" s="40"/>
      <c r="AT11" s="60">
        <v>0</v>
      </c>
      <c r="AU11" s="37"/>
      <c r="AV11" s="37"/>
      <c r="AW11" s="41">
        <f t="shared" si="0"/>
        <v>0</v>
      </c>
      <c r="AX11" s="42">
        <f t="shared" si="0"/>
        <v>0</v>
      </c>
      <c r="AY11" s="81">
        <f t="shared" si="0"/>
        <v>0</v>
      </c>
      <c r="AZ11" s="77">
        <f t="shared" si="0"/>
        <v>0</v>
      </c>
      <c r="BA11" s="77">
        <f t="shared" si="0"/>
        <v>0</v>
      </c>
      <c r="BB11" s="41">
        <f t="shared" si="0"/>
        <v>0</v>
      </c>
      <c r="BC11" s="42">
        <f t="shared" si="0"/>
        <v>0</v>
      </c>
      <c r="BD11" s="42">
        <f t="shared" si="0"/>
        <v>0</v>
      </c>
    </row>
    <row r="12" spans="1:61" x14ac:dyDescent="0.2">
      <c r="A12" s="103" t="s">
        <v>409</v>
      </c>
      <c r="B12" s="104">
        <v>10000.01</v>
      </c>
      <c r="C12" s="104">
        <v>15000</v>
      </c>
      <c r="D12" s="103"/>
      <c r="E12" s="103"/>
      <c r="F12" s="103"/>
      <c r="G12" s="87" t="s">
        <v>410</v>
      </c>
      <c r="H12" s="38"/>
      <c r="I12" s="53">
        <v>0</v>
      </c>
      <c r="J12" s="51"/>
      <c r="K12" s="78">
        <v>0</v>
      </c>
      <c r="L12" s="66"/>
      <c r="M12" s="66"/>
      <c r="N12" s="44">
        <v>0</v>
      </c>
      <c r="O12" s="54"/>
      <c r="P12" s="54"/>
      <c r="Q12" s="52">
        <v>0</v>
      </c>
      <c r="R12" s="51"/>
      <c r="S12" s="79">
        <v>0</v>
      </c>
      <c r="T12" s="66"/>
      <c r="U12" s="66"/>
      <c r="V12" s="44">
        <v>0</v>
      </c>
      <c r="W12" s="54"/>
      <c r="X12" s="54"/>
      <c r="Y12" s="52">
        <v>0</v>
      </c>
      <c r="Z12" s="51"/>
      <c r="AA12" s="79">
        <v>0</v>
      </c>
      <c r="AB12" s="66"/>
      <c r="AC12" s="66"/>
      <c r="AD12" s="44">
        <v>0</v>
      </c>
      <c r="AE12" s="54"/>
      <c r="AF12" s="54"/>
      <c r="AG12" s="52">
        <v>0</v>
      </c>
      <c r="AH12" s="51"/>
      <c r="AI12" s="79">
        <v>0</v>
      </c>
      <c r="AJ12" s="66"/>
      <c r="AK12" s="66"/>
      <c r="AL12" s="44">
        <v>0</v>
      </c>
      <c r="AM12" s="54"/>
      <c r="AN12" s="54"/>
      <c r="AO12" s="52">
        <v>0</v>
      </c>
      <c r="AP12" s="51"/>
      <c r="AQ12" s="39"/>
      <c r="AR12" s="40"/>
      <c r="AS12" s="40"/>
      <c r="AT12" s="60">
        <v>0</v>
      </c>
      <c r="AU12" s="37"/>
      <c r="AV12" s="37"/>
      <c r="AW12" s="41">
        <f t="shared" si="0"/>
        <v>0</v>
      </c>
      <c r="AX12" s="42">
        <f t="shared" si="0"/>
        <v>0</v>
      </c>
      <c r="AY12" s="81">
        <f t="shared" si="0"/>
        <v>0</v>
      </c>
      <c r="AZ12" s="77">
        <f t="shared" si="0"/>
        <v>0</v>
      </c>
      <c r="BA12" s="77">
        <f t="shared" si="0"/>
        <v>0</v>
      </c>
      <c r="BB12" s="41">
        <f t="shared" ref="AW12:BD28" si="1">N12+V12+AD12+AL12+AT12</f>
        <v>0</v>
      </c>
      <c r="BC12" s="42">
        <f t="shared" si="1"/>
        <v>0</v>
      </c>
      <c r="BD12" s="42">
        <f t="shared" si="1"/>
        <v>0</v>
      </c>
    </row>
    <row r="13" spans="1:61" x14ac:dyDescent="0.2">
      <c r="A13" s="105" t="s">
        <v>68</v>
      </c>
      <c r="B13" s="106">
        <v>15000.01</v>
      </c>
      <c r="C13" s="106">
        <v>40000</v>
      </c>
      <c r="D13" s="105"/>
      <c r="E13" s="105"/>
      <c r="F13" s="105"/>
      <c r="G13" s="90" t="s">
        <v>121</v>
      </c>
      <c r="H13" s="43"/>
      <c r="I13" s="53">
        <v>0</v>
      </c>
      <c r="J13" s="51"/>
      <c r="K13" s="78">
        <v>0</v>
      </c>
      <c r="L13" s="66"/>
      <c r="M13" s="66"/>
      <c r="N13" s="44">
        <v>0</v>
      </c>
      <c r="O13" s="54"/>
      <c r="P13" s="54"/>
      <c r="Q13" s="52">
        <v>0</v>
      </c>
      <c r="R13" s="51"/>
      <c r="S13" s="79">
        <v>0</v>
      </c>
      <c r="T13" s="66"/>
      <c r="U13" s="66"/>
      <c r="V13" s="44">
        <v>0</v>
      </c>
      <c r="W13" s="54"/>
      <c r="X13" s="54"/>
      <c r="Y13" s="52">
        <v>0</v>
      </c>
      <c r="Z13" s="51"/>
      <c r="AA13" s="79">
        <v>0</v>
      </c>
      <c r="AB13" s="66"/>
      <c r="AC13" s="66"/>
      <c r="AD13" s="44">
        <v>0</v>
      </c>
      <c r="AE13" s="54"/>
      <c r="AF13" s="54"/>
      <c r="AG13" s="52">
        <v>0</v>
      </c>
      <c r="AH13" s="51"/>
      <c r="AI13" s="79">
        <v>0</v>
      </c>
      <c r="AJ13" s="66"/>
      <c r="AK13" s="66"/>
      <c r="AL13" s="44">
        <v>0</v>
      </c>
      <c r="AM13" s="54"/>
      <c r="AN13" s="54"/>
      <c r="AO13" s="52">
        <v>0</v>
      </c>
      <c r="AP13" s="51"/>
      <c r="AQ13" s="39"/>
      <c r="AR13" s="40"/>
      <c r="AS13" s="40"/>
      <c r="AT13" s="60">
        <v>0</v>
      </c>
      <c r="AU13" s="37"/>
      <c r="AV13" s="37"/>
      <c r="AW13" s="41">
        <f t="shared" si="1"/>
        <v>0</v>
      </c>
      <c r="AX13" s="42">
        <f t="shared" si="1"/>
        <v>0</v>
      </c>
      <c r="AY13" s="81">
        <f t="shared" si="1"/>
        <v>0</v>
      </c>
      <c r="AZ13" s="77">
        <f t="shared" si="1"/>
        <v>0</v>
      </c>
      <c r="BA13" s="77">
        <f t="shared" si="1"/>
        <v>0</v>
      </c>
      <c r="BB13" s="41">
        <f t="shared" si="1"/>
        <v>0</v>
      </c>
      <c r="BC13" s="42">
        <f t="shared" si="1"/>
        <v>0</v>
      </c>
      <c r="BD13" s="42">
        <f t="shared" si="1"/>
        <v>0</v>
      </c>
    </row>
    <row r="14" spans="1:61" x14ac:dyDescent="0.2">
      <c r="A14" s="105" t="s">
        <v>69</v>
      </c>
      <c r="B14" s="106">
        <v>40000.01</v>
      </c>
      <c r="C14" s="106">
        <v>60000</v>
      </c>
      <c r="D14" s="105"/>
      <c r="E14" s="105"/>
      <c r="F14" s="105"/>
      <c r="G14" s="90" t="s">
        <v>122</v>
      </c>
      <c r="H14" s="43"/>
      <c r="I14" s="53">
        <v>0</v>
      </c>
      <c r="J14" s="51"/>
      <c r="K14" s="78">
        <v>0</v>
      </c>
      <c r="L14" s="66"/>
      <c r="M14" s="66"/>
      <c r="N14" s="44">
        <v>0</v>
      </c>
      <c r="O14" s="54"/>
      <c r="P14" s="54"/>
      <c r="Q14" s="52">
        <v>0</v>
      </c>
      <c r="R14" s="51"/>
      <c r="S14" s="79">
        <v>0</v>
      </c>
      <c r="T14" s="66"/>
      <c r="U14" s="66"/>
      <c r="V14" s="44">
        <v>0</v>
      </c>
      <c r="W14" s="54"/>
      <c r="X14" s="54"/>
      <c r="Y14" s="52">
        <v>0</v>
      </c>
      <c r="Z14" s="51"/>
      <c r="AA14" s="79">
        <v>0</v>
      </c>
      <c r="AB14" s="66"/>
      <c r="AC14" s="66"/>
      <c r="AD14" s="44">
        <v>0</v>
      </c>
      <c r="AE14" s="54"/>
      <c r="AF14" s="54"/>
      <c r="AG14" s="52">
        <v>0</v>
      </c>
      <c r="AH14" s="51"/>
      <c r="AI14" s="79">
        <v>0</v>
      </c>
      <c r="AJ14" s="66"/>
      <c r="AK14" s="66"/>
      <c r="AL14" s="44">
        <v>0</v>
      </c>
      <c r="AM14" s="54"/>
      <c r="AN14" s="54"/>
      <c r="AO14" s="52">
        <v>0</v>
      </c>
      <c r="AP14" s="51"/>
      <c r="AQ14" s="39"/>
      <c r="AR14" s="40"/>
      <c r="AS14" s="40"/>
      <c r="AT14" s="60">
        <v>0</v>
      </c>
      <c r="AU14" s="37"/>
      <c r="AV14" s="37"/>
      <c r="AW14" s="41">
        <f t="shared" si="1"/>
        <v>0</v>
      </c>
      <c r="AX14" s="42">
        <f t="shared" si="1"/>
        <v>0</v>
      </c>
      <c r="AY14" s="81">
        <f t="shared" si="1"/>
        <v>0</v>
      </c>
      <c r="AZ14" s="77">
        <f t="shared" si="1"/>
        <v>0</v>
      </c>
      <c r="BA14" s="77">
        <f t="shared" si="1"/>
        <v>0</v>
      </c>
      <c r="BB14" s="41">
        <f t="shared" si="1"/>
        <v>0</v>
      </c>
      <c r="BC14" s="42">
        <f t="shared" si="1"/>
        <v>0</v>
      </c>
      <c r="BD14" s="42">
        <f t="shared" si="1"/>
        <v>0</v>
      </c>
    </row>
    <row r="15" spans="1:61" x14ac:dyDescent="0.2">
      <c r="A15" s="105" t="s">
        <v>70</v>
      </c>
      <c r="B15" s="106">
        <v>60000.01</v>
      </c>
      <c r="C15" s="106">
        <v>80000</v>
      </c>
      <c r="D15" s="105"/>
      <c r="E15" s="105"/>
      <c r="F15" s="105"/>
      <c r="G15" s="90" t="s">
        <v>123</v>
      </c>
      <c r="H15" s="43"/>
      <c r="I15" s="53">
        <v>0</v>
      </c>
      <c r="J15" s="51"/>
      <c r="K15" s="78">
        <v>0</v>
      </c>
      <c r="L15" s="66"/>
      <c r="M15" s="66"/>
      <c r="N15" s="44">
        <v>0</v>
      </c>
      <c r="O15" s="54"/>
      <c r="P15" s="54"/>
      <c r="Q15" s="52">
        <v>0</v>
      </c>
      <c r="R15" s="51"/>
      <c r="S15" s="79">
        <v>0</v>
      </c>
      <c r="T15" s="66"/>
      <c r="U15" s="66"/>
      <c r="V15" s="44">
        <v>0</v>
      </c>
      <c r="W15" s="54"/>
      <c r="X15" s="54"/>
      <c r="Y15" s="52">
        <v>0</v>
      </c>
      <c r="Z15" s="51"/>
      <c r="AA15" s="79">
        <v>0</v>
      </c>
      <c r="AB15" s="66"/>
      <c r="AC15" s="66"/>
      <c r="AD15" s="44">
        <v>0</v>
      </c>
      <c r="AE15" s="54"/>
      <c r="AF15" s="54"/>
      <c r="AG15" s="52">
        <v>0</v>
      </c>
      <c r="AH15" s="51"/>
      <c r="AI15" s="79">
        <v>0</v>
      </c>
      <c r="AJ15" s="66"/>
      <c r="AK15" s="66"/>
      <c r="AL15" s="44">
        <v>0</v>
      </c>
      <c r="AM15" s="54"/>
      <c r="AN15" s="54"/>
      <c r="AO15" s="52">
        <v>0</v>
      </c>
      <c r="AP15" s="51"/>
      <c r="AQ15" s="39"/>
      <c r="AR15" s="40"/>
      <c r="AS15" s="40"/>
      <c r="AT15" s="60">
        <v>0</v>
      </c>
      <c r="AU15" s="37"/>
      <c r="AV15" s="37"/>
      <c r="AW15" s="41">
        <f t="shared" si="1"/>
        <v>0</v>
      </c>
      <c r="AX15" s="42">
        <f t="shared" si="1"/>
        <v>0</v>
      </c>
      <c r="AY15" s="81">
        <f t="shared" si="1"/>
        <v>0</v>
      </c>
      <c r="AZ15" s="77">
        <f t="shared" si="1"/>
        <v>0</v>
      </c>
      <c r="BA15" s="77">
        <f t="shared" si="1"/>
        <v>0</v>
      </c>
      <c r="BB15" s="41">
        <f t="shared" si="1"/>
        <v>0</v>
      </c>
      <c r="BC15" s="42">
        <f t="shared" si="1"/>
        <v>0</v>
      </c>
      <c r="BD15" s="42">
        <f t="shared" si="1"/>
        <v>0</v>
      </c>
    </row>
    <row r="16" spans="1:61" x14ac:dyDescent="0.2">
      <c r="A16" s="105" t="s">
        <v>71</v>
      </c>
      <c r="B16" s="106">
        <v>80000.009999999995</v>
      </c>
      <c r="C16" s="106">
        <v>100000</v>
      </c>
      <c r="D16" s="105"/>
      <c r="E16" s="105"/>
      <c r="F16" s="105"/>
      <c r="G16" s="90" t="s">
        <v>124</v>
      </c>
      <c r="H16" s="43"/>
      <c r="I16" s="53">
        <v>0</v>
      </c>
      <c r="J16" s="51"/>
      <c r="K16" s="78">
        <v>0</v>
      </c>
      <c r="L16" s="66"/>
      <c r="M16" s="66"/>
      <c r="N16" s="44">
        <v>0</v>
      </c>
      <c r="O16" s="54"/>
      <c r="P16" s="54"/>
      <c r="Q16" s="52">
        <v>0</v>
      </c>
      <c r="R16" s="51"/>
      <c r="S16" s="79">
        <v>0</v>
      </c>
      <c r="T16" s="66"/>
      <c r="U16" s="66"/>
      <c r="V16" s="44">
        <v>0</v>
      </c>
      <c r="W16" s="54"/>
      <c r="X16" s="54"/>
      <c r="Y16" s="52">
        <v>0</v>
      </c>
      <c r="Z16" s="51"/>
      <c r="AA16" s="79">
        <v>0</v>
      </c>
      <c r="AB16" s="66"/>
      <c r="AC16" s="66"/>
      <c r="AD16" s="44">
        <v>0</v>
      </c>
      <c r="AE16" s="54"/>
      <c r="AF16" s="54"/>
      <c r="AG16" s="52">
        <v>0</v>
      </c>
      <c r="AH16" s="51"/>
      <c r="AI16" s="79">
        <v>0</v>
      </c>
      <c r="AJ16" s="66"/>
      <c r="AK16" s="66"/>
      <c r="AL16" s="44">
        <v>0</v>
      </c>
      <c r="AM16" s="54"/>
      <c r="AN16" s="54"/>
      <c r="AO16" s="52">
        <v>0</v>
      </c>
      <c r="AP16" s="51"/>
      <c r="AQ16" s="39"/>
      <c r="AR16" s="40"/>
      <c r="AS16" s="40"/>
      <c r="AT16" s="60">
        <v>0</v>
      </c>
      <c r="AU16" s="37"/>
      <c r="AV16" s="37"/>
      <c r="AW16" s="41">
        <f t="shared" si="1"/>
        <v>0</v>
      </c>
      <c r="AX16" s="42">
        <f t="shared" si="1"/>
        <v>0</v>
      </c>
      <c r="AY16" s="81">
        <f t="shared" si="1"/>
        <v>0</v>
      </c>
      <c r="AZ16" s="77">
        <f t="shared" si="1"/>
        <v>0</v>
      </c>
      <c r="BA16" s="77">
        <f t="shared" si="1"/>
        <v>0</v>
      </c>
      <c r="BB16" s="41">
        <f t="shared" si="1"/>
        <v>0</v>
      </c>
      <c r="BC16" s="42">
        <f t="shared" si="1"/>
        <v>0</v>
      </c>
      <c r="BD16" s="42">
        <f t="shared" si="1"/>
        <v>0</v>
      </c>
    </row>
    <row r="17" spans="1:56" x14ac:dyDescent="0.2">
      <c r="A17" s="105" t="s">
        <v>72</v>
      </c>
      <c r="B17" s="106">
        <v>100000.01</v>
      </c>
      <c r="C17" s="106">
        <v>150000</v>
      </c>
      <c r="D17" s="105"/>
      <c r="E17" s="105"/>
      <c r="F17" s="105"/>
      <c r="G17" s="90" t="s">
        <v>125</v>
      </c>
      <c r="H17" s="43"/>
      <c r="I17" s="53">
        <v>0</v>
      </c>
      <c r="J17" s="51"/>
      <c r="K17" s="78">
        <v>0</v>
      </c>
      <c r="L17" s="66"/>
      <c r="M17" s="66"/>
      <c r="N17" s="44">
        <v>0</v>
      </c>
      <c r="O17" s="54"/>
      <c r="P17" s="54"/>
      <c r="Q17" s="52">
        <v>0</v>
      </c>
      <c r="R17" s="51"/>
      <c r="S17" s="79">
        <v>0</v>
      </c>
      <c r="T17" s="66"/>
      <c r="U17" s="66"/>
      <c r="V17" s="44">
        <v>0</v>
      </c>
      <c r="W17" s="54"/>
      <c r="X17" s="54"/>
      <c r="Y17" s="52">
        <v>0</v>
      </c>
      <c r="Z17" s="51"/>
      <c r="AA17" s="79">
        <v>0</v>
      </c>
      <c r="AB17" s="66"/>
      <c r="AC17" s="66"/>
      <c r="AD17" s="44">
        <v>0</v>
      </c>
      <c r="AE17" s="54"/>
      <c r="AF17" s="54"/>
      <c r="AG17" s="52">
        <v>0</v>
      </c>
      <c r="AH17" s="51"/>
      <c r="AI17" s="79">
        <v>0</v>
      </c>
      <c r="AJ17" s="66"/>
      <c r="AK17" s="66"/>
      <c r="AL17" s="44">
        <v>0</v>
      </c>
      <c r="AM17" s="54"/>
      <c r="AN17" s="54"/>
      <c r="AO17" s="52">
        <v>0</v>
      </c>
      <c r="AP17" s="51"/>
      <c r="AQ17" s="39"/>
      <c r="AR17" s="40"/>
      <c r="AS17" s="40"/>
      <c r="AT17" s="60">
        <v>0</v>
      </c>
      <c r="AU17" s="37"/>
      <c r="AV17" s="37"/>
      <c r="AW17" s="41">
        <f t="shared" si="1"/>
        <v>0</v>
      </c>
      <c r="AX17" s="42">
        <f t="shared" si="1"/>
        <v>0</v>
      </c>
      <c r="AY17" s="81">
        <f t="shared" si="1"/>
        <v>0</v>
      </c>
      <c r="AZ17" s="77">
        <f t="shared" si="1"/>
        <v>0</v>
      </c>
      <c r="BA17" s="77">
        <f t="shared" si="1"/>
        <v>0</v>
      </c>
      <c r="BB17" s="41">
        <f t="shared" si="1"/>
        <v>0</v>
      </c>
      <c r="BC17" s="42">
        <f t="shared" si="1"/>
        <v>0</v>
      </c>
      <c r="BD17" s="42">
        <f t="shared" si="1"/>
        <v>0</v>
      </c>
    </row>
    <row r="18" spans="1:56" x14ac:dyDescent="0.2">
      <c r="A18" s="105" t="s">
        <v>73</v>
      </c>
      <c r="B18" s="106">
        <v>150000.01</v>
      </c>
      <c r="C18" s="106">
        <v>200000</v>
      </c>
      <c r="D18" s="105"/>
      <c r="E18" s="105"/>
      <c r="F18" s="105"/>
      <c r="G18" s="90" t="s">
        <v>126</v>
      </c>
      <c r="H18" s="43"/>
      <c r="I18" s="53">
        <v>0</v>
      </c>
      <c r="J18" s="51"/>
      <c r="K18" s="78">
        <v>0</v>
      </c>
      <c r="L18" s="66"/>
      <c r="M18" s="66"/>
      <c r="N18" s="44">
        <v>0</v>
      </c>
      <c r="O18" s="54"/>
      <c r="P18" s="54"/>
      <c r="Q18" s="52">
        <v>0</v>
      </c>
      <c r="R18" s="51"/>
      <c r="S18" s="79">
        <v>0</v>
      </c>
      <c r="T18" s="66"/>
      <c r="U18" s="66"/>
      <c r="V18" s="44">
        <v>0</v>
      </c>
      <c r="W18" s="54"/>
      <c r="X18" s="54"/>
      <c r="Y18" s="52">
        <v>0</v>
      </c>
      <c r="Z18" s="51"/>
      <c r="AA18" s="79">
        <v>0</v>
      </c>
      <c r="AB18" s="66"/>
      <c r="AC18" s="66"/>
      <c r="AD18" s="44">
        <v>0</v>
      </c>
      <c r="AE18" s="54"/>
      <c r="AF18" s="54"/>
      <c r="AG18" s="52">
        <v>0</v>
      </c>
      <c r="AH18" s="51"/>
      <c r="AI18" s="79">
        <v>0</v>
      </c>
      <c r="AJ18" s="66"/>
      <c r="AK18" s="66"/>
      <c r="AL18" s="44">
        <v>0</v>
      </c>
      <c r="AM18" s="54"/>
      <c r="AN18" s="54"/>
      <c r="AO18" s="52">
        <v>0</v>
      </c>
      <c r="AP18" s="51"/>
      <c r="AQ18" s="39"/>
      <c r="AR18" s="40"/>
      <c r="AS18" s="40"/>
      <c r="AT18" s="60">
        <v>0</v>
      </c>
      <c r="AU18" s="37"/>
      <c r="AV18" s="37"/>
      <c r="AW18" s="41">
        <f t="shared" si="1"/>
        <v>0</v>
      </c>
      <c r="AX18" s="42">
        <f t="shared" si="1"/>
        <v>0</v>
      </c>
      <c r="AY18" s="81">
        <f t="shared" si="1"/>
        <v>0</v>
      </c>
      <c r="AZ18" s="77">
        <f t="shared" si="1"/>
        <v>0</v>
      </c>
      <c r="BA18" s="77">
        <f t="shared" si="1"/>
        <v>0</v>
      </c>
      <c r="BB18" s="41">
        <f t="shared" si="1"/>
        <v>0</v>
      </c>
      <c r="BC18" s="42">
        <f t="shared" si="1"/>
        <v>0</v>
      </c>
      <c r="BD18" s="42">
        <f t="shared" si="1"/>
        <v>0</v>
      </c>
    </row>
    <row r="19" spans="1:56" x14ac:dyDescent="0.2">
      <c r="A19" s="105" t="s">
        <v>74</v>
      </c>
      <c r="B19" s="106">
        <v>200000.01</v>
      </c>
      <c r="C19" s="106">
        <v>250000</v>
      </c>
      <c r="D19" s="105"/>
      <c r="E19" s="105"/>
      <c r="F19" s="105"/>
      <c r="G19" s="90" t="s">
        <v>127</v>
      </c>
      <c r="H19" s="43"/>
      <c r="I19" s="53">
        <v>0</v>
      </c>
      <c r="J19" s="51"/>
      <c r="K19" s="78">
        <v>0</v>
      </c>
      <c r="L19" s="66"/>
      <c r="M19" s="66"/>
      <c r="N19" s="44">
        <v>0</v>
      </c>
      <c r="O19" s="54"/>
      <c r="P19" s="54"/>
      <c r="Q19" s="52">
        <v>0</v>
      </c>
      <c r="R19" s="51"/>
      <c r="S19" s="79">
        <v>0</v>
      </c>
      <c r="T19" s="66"/>
      <c r="U19" s="66"/>
      <c r="V19" s="44">
        <v>0</v>
      </c>
      <c r="W19" s="54"/>
      <c r="X19" s="54"/>
      <c r="Y19" s="52">
        <v>0</v>
      </c>
      <c r="Z19" s="51"/>
      <c r="AA19" s="79">
        <v>0</v>
      </c>
      <c r="AB19" s="66"/>
      <c r="AC19" s="66"/>
      <c r="AD19" s="44">
        <v>0</v>
      </c>
      <c r="AE19" s="54"/>
      <c r="AF19" s="54"/>
      <c r="AG19" s="52">
        <v>0</v>
      </c>
      <c r="AH19" s="51"/>
      <c r="AI19" s="79">
        <v>0</v>
      </c>
      <c r="AJ19" s="66"/>
      <c r="AK19" s="66"/>
      <c r="AL19" s="44">
        <v>0</v>
      </c>
      <c r="AM19" s="54"/>
      <c r="AN19" s="54"/>
      <c r="AO19" s="52">
        <v>0</v>
      </c>
      <c r="AP19" s="51"/>
      <c r="AQ19" s="39"/>
      <c r="AR19" s="40"/>
      <c r="AS19" s="40"/>
      <c r="AT19" s="60">
        <v>0</v>
      </c>
      <c r="AU19" s="37"/>
      <c r="AV19" s="37"/>
      <c r="AW19" s="41">
        <f t="shared" si="1"/>
        <v>0</v>
      </c>
      <c r="AX19" s="42">
        <f t="shared" si="1"/>
        <v>0</v>
      </c>
      <c r="AY19" s="81">
        <f t="shared" si="1"/>
        <v>0</v>
      </c>
      <c r="AZ19" s="77">
        <f t="shared" si="1"/>
        <v>0</v>
      </c>
      <c r="BA19" s="77">
        <f t="shared" si="1"/>
        <v>0</v>
      </c>
      <c r="BB19" s="41">
        <f t="shared" si="1"/>
        <v>0</v>
      </c>
      <c r="BC19" s="42">
        <f t="shared" si="1"/>
        <v>0</v>
      </c>
      <c r="BD19" s="42">
        <f t="shared" si="1"/>
        <v>0</v>
      </c>
    </row>
    <row r="20" spans="1:56" x14ac:dyDescent="0.2">
      <c r="A20" s="105" t="s">
        <v>75</v>
      </c>
      <c r="B20" s="106">
        <v>250000.01</v>
      </c>
      <c r="C20" s="106">
        <v>300000</v>
      </c>
      <c r="D20" s="105"/>
      <c r="E20" s="105"/>
      <c r="F20" s="105"/>
      <c r="G20" s="90" t="s">
        <v>128</v>
      </c>
      <c r="H20" s="43"/>
      <c r="I20" s="53">
        <v>0</v>
      </c>
      <c r="J20" s="51"/>
      <c r="K20" s="78">
        <v>0</v>
      </c>
      <c r="L20" s="66"/>
      <c r="M20" s="66"/>
      <c r="N20" s="44">
        <v>0</v>
      </c>
      <c r="O20" s="54"/>
      <c r="P20" s="54"/>
      <c r="Q20" s="52">
        <v>0</v>
      </c>
      <c r="R20" s="51"/>
      <c r="S20" s="79">
        <v>0</v>
      </c>
      <c r="T20" s="66"/>
      <c r="U20" s="66"/>
      <c r="V20" s="44">
        <v>0</v>
      </c>
      <c r="W20" s="54"/>
      <c r="X20" s="54"/>
      <c r="Y20" s="52">
        <v>0</v>
      </c>
      <c r="Z20" s="51"/>
      <c r="AA20" s="79">
        <v>0</v>
      </c>
      <c r="AB20" s="66"/>
      <c r="AC20" s="66"/>
      <c r="AD20" s="44">
        <v>0</v>
      </c>
      <c r="AE20" s="54"/>
      <c r="AF20" s="54"/>
      <c r="AG20" s="52">
        <v>0</v>
      </c>
      <c r="AH20" s="51"/>
      <c r="AI20" s="79">
        <v>0</v>
      </c>
      <c r="AJ20" s="66"/>
      <c r="AK20" s="66"/>
      <c r="AL20" s="44">
        <v>0</v>
      </c>
      <c r="AM20" s="54"/>
      <c r="AN20" s="54"/>
      <c r="AO20" s="52">
        <v>0</v>
      </c>
      <c r="AP20" s="51"/>
      <c r="AQ20" s="39"/>
      <c r="AR20" s="40"/>
      <c r="AS20" s="40"/>
      <c r="AT20" s="60">
        <v>0</v>
      </c>
      <c r="AU20" s="37"/>
      <c r="AV20" s="37"/>
      <c r="AW20" s="41">
        <f t="shared" si="1"/>
        <v>0</v>
      </c>
      <c r="AX20" s="42">
        <f t="shared" si="1"/>
        <v>0</v>
      </c>
      <c r="AY20" s="81">
        <f t="shared" si="1"/>
        <v>0</v>
      </c>
      <c r="AZ20" s="77">
        <f t="shared" si="1"/>
        <v>0</v>
      </c>
      <c r="BA20" s="77">
        <f t="shared" si="1"/>
        <v>0</v>
      </c>
      <c r="BB20" s="41">
        <f t="shared" si="1"/>
        <v>0</v>
      </c>
      <c r="BC20" s="42">
        <f t="shared" si="1"/>
        <v>0</v>
      </c>
      <c r="BD20" s="42">
        <f t="shared" si="1"/>
        <v>0</v>
      </c>
    </row>
    <row r="21" spans="1:56" x14ac:dyDescent="0.2">
      <c r="A21" s="105" t="s">
        <v>76</v>
      </c>
      <c r="B21" s="106">
        <v>300000.01</v>
      </c>
      <c r="C21" s="106">
        <v>400000</v>
      </c>
      <c r="D21" s="105"/>
      <c r="E21" s="105"/>
      <c r="F21" s="105"/>
      <c r="G21" s="90" t="s">
        <v>129</v>
      </c>
      <c r="H21" s="43"/>
      <c r="I21" s="52">
        <v>0</v>
      </c>
      <c r="J21" s="51"/>
      <c r="K21" s="78">
        <v>0</v>
      </c>
      <c r="L21" s="66"/>
      <c r="M21" s="66"/>
      <c r="N21" s="44">
        <v>0</v>
      </c>
      <c r="O21" s="54"/>
      <c r="P21" s="54"/>
      <c r="Q21" s="52">
        <v>0</v>
      </c>
      <c r="R21" s="51"/>
      <c r="S21" s="79">
        <v>0</v>
      </c>
      <c r="T21" s="66"/>
      <c r="U21" s="66"/>
      <c r="V21" s="44">
        <v>0</v>
      </c>
      <c r="W21" s="54"/>
      <c r="X21" s="54"/>
      <c r="Y21" s="52">
        <v>0</v>
      </c>
      <c r="Z21" s="51"/>
      <c r="AA21" s="79">
        <v>0</v>
      </c>
      <c r="AB21" s="66"/>
      <c r="AC21" s="66"/>
      <c r="AD21" s="44">
        <v>0</v>
      </c>
      <c r="AE21" s="54"/>
      <c r="AF21" s="54"/>
      <c r="AG21" s="52">
        <v>0</v>
      </c>
      <c r="AH21" s="51"/>
      <c r="AI21" s="79">
        <v>0</v>
      </c>
      <c r="AJ21" s="66"/>
      <c r="AK21" s="66"/>
      <c r="AL21" s="44">
        <v>0</v>
      </c>
      <c r="AM21" s="54"/>
      <c r="AN21" s="54"/>
      <c r="AO21" s="52">
        <v>0</v>
      </c>
      <c r="AP21" s="51"/>
      <c r="AQ21" s="39"/>
      <c r="AR21" s="40"/>
      <c r="AS21" s="40"/>
      <c r="AT21" s="60">
        <v>0</v>
      </c>
      <c r="AU21" s="37"/>
      <c r="AV21" s="37"/>
      <c r="AW21" s="41">
        <f t="shared" si="1"/>
        <v>0</v>
      </c>
      <c r="AX21" s="42">
        <f t="shared" si="1"/>
        <v>0</v>
      </c>
      <c r="AY21" s="81">
        <f t="shared" si="1"/>
        <v>0</v>
      </c>
      <c r="AZ21" s="77">
        <f t="shared" si="1"/>
        <v>0</v>
      </c>
      <c r="BA21" s="77">
        <f t="shared" si="1"/>
        <v>0</v>
      </c>
      <c r="BB21" s="41">
        <f t="shared" si="1"/>
        <v>0</v>
      </c>
      <c r="BC21" s="42">
        <f t="shared" si="1"/>
        <v>0</v>
      </c>
      <c r="BD21" s="42">
        <f t="shared" si="1"/>
        <v>0</v>
      </c>
    </row>
    <row r="22" spans="1:56" x14ac:dyDescent="0.2">
      <c r="A22" s="105" t="s">
        <v>77</v>
      </c>
      <c r="B22" s="106">
        <v>400000.01</v>
      </c>
      <c r="C22" s="106">
        <v>500000</v>
      </c>
      <c r="D22" s="105"/>
      <c r="E22" s="105"/>
      <c r="F22" s="105"/>
      <c r="G22" s="90" t="s">
        <v>130</v>
      </c>
      <c r="H22" s="43"/>
      <c r="I22" s="53">
        <v>0</v>
      </c>
      <c r="J22" s="51"/>
      <c r="K22" s="78">
        <v>0</v>
      </c>
      <c r="L22" s="66"/>
      <c r="M22" s="66"/>
      <c r="N22" s="44">
        <v>0</v>
      </c>
      <c r="O22" s="54"/>
      <c r="P22" s="54"/>
      <c r="Q22" s="52">
        <v>0</v>
      </c>
      <c r="R22" s="51"/>
      <c r="S22" s="79">
        <v>0</v>
      </c>
      <c r="T22" s="66"/>
      <c r="U22" s="66"/>
      <c r="V22" s="44">
        <v>0</v>
      </c>
      <c r="W22" s="54"/>
      <c r="X22" s="54"/>
      <c r="Y22" s="52">
        <v>0</v>
      </c>
      <c r="Z22" s="51"/>
      <c r="AA22" s="79">
        <v>0</v>
      </c>
      <c r="AB22" s="66"/>
      <c r="AC22" s="66"/>
      <c r="AD22" s="44">
        <v>0</v>
      </c>
      <c r="AE22" s="54"/>
      <c r="AF22" s="54"/>
      <c r="AG22" s="52">
        <v>0</v>
      </c>
      <c r="AH22" s="51"/>
      <c r="AI22" s="79">
        <v>0</v>
      </c>
      <c r="AJ22" s="66"/>
      <c r="AK22" s="66"/>
      <c r="AL22" s="44">
        <v>0</v>
      </c>
      <c r="AM22" s="54"/>
      <c r="AN22" s="54"/>
      <c r="AO22" s="52">
        <v>0</v>
      </c>
      <c r="AP22" s="51"/>
      <c r="AQ22" s="39"/>
      <c r="AR22" s="40"/>
      <c r="AS22" s="40"/>
      <c r="AT22" s="60">
        <v>0</v>
      </c>
      <c r="AU22" s="37"/>
      <c r="AV22" s="37"/>
      <c r="AW22" s="41">
        <f t="shared" si="1"/>
        <v>0</v>
      </c>
      <c r="AX22" s="42">
        <f t="shared" si="1"/>
        <v>0</v>
      </c>
      <c r="AY22" s="81">
        <f t="shared" si="1"/>
        <v>0</v>
      </c>
      <c r="AZ22" s="77">
        <f t="shared" si="1"/>
        <v>0</v>
      </c>
      <c r="BA22" s="77">
        <f t="shared" si="1"/>
        <v>0</v>
      </c>
      <c r="BB22" s="41">
        <f t="shared" si="1"/>
        <v>0</v>
      </c>
      <c r="BC22" s="42">
        <f t="shared" si="1"/>
        <v>0</v>
      </c>
      <c r="BD22" s="42">
        <f t="shared" si="1"/>
        <v>0</v>
      </c>
    </row>
    <row r="23" spans="1:56" x14ac:dyDescent="0.2">
      <c r="A23" s="105" t="s">
        <v>78</v>
      </c>
      <c r="B23" s="106">
        <v>500000.01</v>
      </c>
      <c r="C23" s="106">
        <v>750000</v>
      </c>
      <c r="D23" s="105"/>
      <c r="E23" s="105"/>
      <c r="F23" s="105"/>
      <c r="G23" s="90" t="s">
        <v>131</v>
      </c>
      <c r="H23" s="43"/>
      <c r="I23" s="53">
        <v>0</v>
      </c>
      <c r="J23" s="51"/>
      <c r="K23" s="78">
        <v>0</v>
      </c>
      <c r="L23" s="66"/>
      <c r="M23" s="66"/>
      <c r="N23" s="44">
        <v>0</v>
      </c>
      <c r="O23" s="54"/>
      <c r="P23" s="54"/>
      <c r="Q23" s="52">
        <v>0</v>
      </c>
      <c r="R23" s="51"/>
      <c r="S23" s="79">
        <v>0</v>
      </c>
      <c r="T23" s="66"/>
      <c r="U23" s="66"/>
      <c r="V23" s="44">
        <v>0</v>
      </c>
      <c r="W23" s="54"/>
      <c r="X23" s="54"/>
      <c r="Y23" s="52">
        <v>0</v>
      </c>
      <c r="Z23" s="51"/>
      <c r="AA23" s="79">
        <v>0</v>
      </c>
      <c r="AB23" s="66"/>
      <c r="AC23" s="66"/>
      <c r="AD23" s="44">
        <v>0</v>
      </c>
      <c r="AE23" s="54"/>
      <c r="AF23" s="54"/>
      <c r="AG23" s="52">
        <v>0</v>
      </c>
      <c r="AH23" s="51"/>
      <c r="AI23" s="79">
        <v>0</v>
      </c>
      <c r="AJ23" s="66"/>
      <c r="AK23" s="66"/>
      <c r="AL23" s="44">
        <v>0</v>
      </c>
      <c r="AM23" s="54"/>
      <c r="AN23" s="54"/>
      <c r="AO23" s="52">
        <v>0</v>
      </c>
      <c r="AP23" s="51"/>
      <c r="AQ23" s="39"/>
      <c r="AR23" s="40"/>
      <c r="AS23" s="40"/>
      <c r="AT23" s="60">
        <v>0</v>
      </c>
      <c r="AU23" s="37"/>
      <c r="AV23" s="37"/>
      <c r="AW23" s="41">
        <f t="shared" si="1"/>
        <v>0</v>
      </c>
      <c r="AX23" s="42">
        <f t="shared" si="1"/>
        <v>0</v>
      </c>
      <c r="AY23" s="81">
        <f t="shared" si="1"/>
        <v>0</v>
      </c>
      <c r="AZ23" s="77">
        <f t="shared" si="1"/>
        <v>0</v>
      </c>
      <c r="BA23" s="77">
        <f t="shared" si="1"/>
        <v>0</v>
      </c>
      <c r="BB23" s="41">
        <f t="shared" si="1"/>
        <v>0</v>
      </c>
      <c r="BC23" s="42">
        <f t="shared" si="1"/>
        <v>0</v>
      </c>
      <c r="BD23" s="42">
        <f t="shared" si="1"/>
        <v>0</v>
      </c>
    </row>
    <row r="24" spans="1:56" x14ac:dyDescent="0.2">
      <c r="A24" s="105" t="s">
        <v>79</v>
      </c>
      <c r="B24" s="106">
        <v>750000.01</v>
      </c>
      <c r="C24" s="106">
        <v>1000000</v>
      </c>
      <c r="D24" s="105"/>
      <c r="E24" s="105"/>
      <c r="F24" s="105"/>
      <c r="G24" s="90" t="s">
        <v>132</v>
      </c>
      <c r="H24" s="43"/>
      <c r="I24" s="53">
        <v>0</v>
      </c>
      <c r="J24" s="51"/>
      <c r="K24" s="78">
        <v>0</v>
      </c>
      <c r="L24" s="66"/>
      <c r="M24" s="66"/>
      <c r="N24" s="44">
        <v>0</v>
      </c>
      <c r="O24" s="54"/>
      <c r="P24" s="54"/>
      <c r="Q24" s="52">
        <v>0</v>
      </c>
      <c r="R24" s="51"/>
      <c r="S24" s="79">
        <v>0</v>
      </c>
      <c r="T24" s="66"/>
      <c r="U24" s="66"/>
      <c r="V24" s="44">
        <v>0</v>
      </c>
      <c r="W24" s="54"/>
      <c r="X24" s="54"/>
      <c r="Y24" s="52">
        <v>0</v>
      </c>
      <c r="Z24" s="51"/>
      <c r="AA24" s="79">
        <v>0</v>
      </c>
      <c r="AB24" s="66"/>
      <c r="AC24" s="66"/>
      <c r="AD24" s="44">
        <v>0</v>
      </c>
      <c r="AE24" s="54"/>
      <c r="AF24" s="54"/>
      <c r="AG24" s="52">
        <v>0</v>
      </c>
      <c r="AH24" s="51"/>
      <c r="AI24" s="79">
        <v>0</v>
      </c>
      <c r="AJ24" s="66"/>
      <c r="AK24" s="66"/>
      <c r="AL24" s="44">
        <v>0</v>
      </c>
      <c r="AM24" s="54"/>
      <c r="AN24" s="54"/>
      <c r="AO24" s="52">
        <v>0</v>
      </c>
      <c r="AP24" s="51"/>
      <c r="AQ24" s="39"/>
      <c r="AR24" s="40"/>
      <c r="AS24" s="40"/>
      <c r="AT24" s="60">
        <v>0</v>
      </c>
      <c r="AU24" s="37"/>
      <c r="AV24" s="37"/>
      <c r="AW24" s="41">
        <f t="shared" si="1"/>
        <v>0</v>
      </c>
      <c r="AX24" s="42">
        <f t="shared" si="1"/>
        <v>0</v>
      </c>
      <c r="AY24" s="81">
        <f t="shared" si="1"/>
        <v>0</v>
      </c>
      <c r="AZ24" s="77">
        <f t="shared" si="1"/>
        <v>0</v>
      </c>
      <c r="BA24" s="77">
        <f t="shared" si="1"/>
        <v>0</v>
      </c>
      <c r="BB24" s="41">
        <f t="shared" si="1"/>
        <v>0</v>
      </c>
      <c r="BC24" s="42">
        <f t="shared" si="1"/>
        <v>0</v>
      </c>
      <c r="BD24" s="42">
        <f t="shared" si="1"/>
        <v>0</v>
      </c>
    </row>
    <row r="25" spans="1:56" x14ac:dyDescent="0.2">
      <c r="A25" s="105" t="s">
        <v>80</v>
      </c>
      <c r="B25" s="106">
        <v>1000000.01</v>
      </c>
      <c r="C25" s="106">
        <v>1500000</v>
      </c>
      <c r="D25" s="105"/>
      <c r="E25" s="105"/>
      <c r="F25" s="105"/>
      <c r="G25" s="90" t="s">
        <v>133</v>
      </c>
      <c r="H25" s="43"/>
      <c r="I25" s="53">
        <v>0</v>
      </c>
      <c r="J25" s="51"/>
      <c r="K25" s="78">
        <v>0</v>
      </c>
      <c r="L25" s="66"/>
      <c r="M25" s="66"/>
      <c r="N25" s="44">
        <v>0</v>
      </c>
      <c r="O25" s="54"/>
      <c r="P25" s="54"/>
      <c r="Q25" s="52">
        <v>0</v>
      </c>
      <c r="R25" s="51"/>
      <c r="S25" s="79">
        <v>0</v>
      </c>
      <c r="T25" s="66"/>
      <c r="U25" s="66"/>
      <c r="V25" s="44">
        <v>0</v>
      </c>
      <c r="W25" s="54"/>
      <c r="X25" s="54"/>
      <c r="Y25" s="52">
        <v>0</v>
      </c>
      <c r="Z25" s="51"/>
      <c r="AA25" s="79">
        <v>0</v>
      </c>
      <c r="AB25" s="66"/>
      <c r="AC25" s="66"/>
      <c r="AD25" s="44">
        <v>0</v>
      </c>
      <c r="AE25" s="54"/>
      <c r="AF25" s="54"/>
      <c r="AG25" s="52">
        <v>0</v>
      </c>
      <c r="AH25" s="51"/>
      <c r="AI25" s="79">
        <v>0</v>
      </c>
      <c r="AJ25" s="66"/>
      <c r="AK25" s="66"/>
      <c r="AL25" s="44">
        <v>0</v>
      </c>
      <c r="AM25" s="54"/>
      <c r="AN25" s="54"/>
      <c r="AO25" s="52">
        <v>0</v>
      </c>
      <c r="AP25" s="51"/>
      <c r="AQ25" s="39"/>
      <c r="AR25" s="40"/>
      <c r="AS25" s="40"/>
      <c r="AT25" s="60">
        <v>0</v>
      </c>
      <c r="AU25" s="37"/>
      <c r="AV25" s="37"/>
      <c r="AW25" s="41">
        <f t="shared" si="1"/>
        <v>0</v>
      </c>
      <c r="AX25" s="42">
        <f t="shared" si="1"/>
        <v>0</v>
      </c>
      <c r="AY25" s="81">
        <f t="shared" si="1"/>
        <v>0</v>
      </c>
      <c r="AZ25" s="77">
        <f t="shared" si="1"/>
        <v>0</v>
      </c>
      <c r="BA25" s="77">
        <f t="shared" si="1"/>
        <v>0</v>
      </c>
      <c r="BB25" s="41">
        <f t="shared" si="1"/>
        <v>0</v>
      </c>
      <c r="BC25" s="42">
        <f t="shared" si="1"/>
        <v>0</v>
      </c>
      <c r="BD25" s="42">
        <f t="shared" si="1"/>
        <v>0</v>
      </c>
    </row>
    <row r="26" spans="1:56" x14ac:dyDescent="0.2">
      <c r="A26" s="105" t="s">
        <v>81</v>
      </c>
      <c r="B26" s="106">
        <v>1500000.01</v>
      </c>
      <c r="C26" s="106">
        <v>2000000</v>
      </c>
      <c r="D26" s="105"/>
      <c r="E26" s="105"/>
      <c r="F26" s="105"/>
      <c r="G26" s="90" t="s">
        <v>134</v>
      </c>
      <c r="H26" s="43"/>
      <c r="I26" s="53">
        <v>0</v>
      </c>
      <c r="J26" s="51"/>
      <c r="K26" s="78">
        <v>0</v>
      </c>
      <c r="L26" s="66"/>
      <c r="M26" s="66"/>
      <c r="N26" s="44">
        <v>0</v>
      </c>
      <c r="O26" s="54"/>
      <c r="P26" s="54"/>
      <c r="Q26" s="52">
        <v>0</v>
      </c>
      <c r="R26" s="51"/>
      <c r="S26" s="79">
        <v>0</v>
      </c>
      <c r="T26" s="66"/>
      <c r="U26" s="66"/>
      <c r="V26" s="44">
        <v>0</v>
      </c>
      <c r="W26" s="54"/>
      <c r="X26" s="54"/>
      <c r="Y26" s="52">
        <v>0</v>
      </c>
      <c r="Z26" s="51"/>
      <c r="AA26" s="79">
        <v>0</v>
      </c>
      <c r="AB26" s="66"/>
      <c r="AC26" s="66"/>
      <c r="AD26" s="44">
        <v>0</v>
      </c>
      <c r="AE26" s="54"/>
      <c r="AF26" s="54"/>
      <c r="AG26" s="52">
        <v>0</v>
      </c>
      <c r="AH26" s="51"/>
      <c r="AI26" s="79">
        <v>0</v>
      </c>
      <c r="AJ26" s="66"/>
      <c r="AK26" s="66"/>
      <c r="AL26" s="44">
        <v>0</v>
      </c>
      <c r="AM26" s="54"/>
      <c r="AN26" s="54"/>
      <c r="AO26" s="52">
        <v>0</v>
      </c>
      <c r="AP26" s="51"/>
      <c r="AQ26" s="39"/>
      <c r="AR26" s="40"/>
      <c r="AS26" s="40"/>
      <c r="AT26" s="60">
        <v>0</v>
      </c>
      <c r="AU26" s="37"/>
      <c r="AV26" s="37"/>
      <c r="AW26" s="41">
        <f t="shared" si="1"/>
        <v>0</v>
      </c>
      <c r="AX26" s="42">
        <f t="shared" si="1"/>
        <v>0</v>
      </c>
      <c r="AY26" s="81">
        <f t="shared" si="1"/>
        <v>0</v>
      </c>
      <c r="AZ26" s="77">
        <f t="shared" si="1"/>
        <v>0</v>
      </c>
      <c r="BA26" s="77">
        <f t="shared" si="1"/>
        <v>0</v>
      </c>
      <c r="BB26" s="41">
        <f t="shared" si="1"/>
        <v>0</v>
      </c>
      <c r="BC26" s="42">
        <f t="shared" si="1"/>
        <v>0</v>
      </c>
      <c r="BD26" s="42">
        <f t="shared" si="1"/>
        <v>0</v>
      </c>
    </row>
    <row r="27" spans="1:56" x14ac:dyDescent="0.2">
      <c r="A27" s="103" t="s">
        <v>82</v>
      </c>
      <c r="B27" s="104">
        <v>2000000.01</v>
      </c>
      <c r="C27" s="107">
        <v>9000000000000</v>
      </c>
      <c r="D27" s="103"/>
      <c r="E27" s="103"/>
      <c r="F27" s="103"/>
      <c r="G27" s="90" t="s">
        <v>135</v>
      </c>
      <c r="H27" s="43"/>
      <c r="I27" s="53">
        <v>0</v>
      </c>
      <c r="J27" s="51"/>
      <c r="K27" s="79">
        <v>0</v>
      </c>
      <c r="L27" s="66"/>
      <c r="M27" s="66"/>
      <c r="N27" s="44">
        <v>0</v>
      </c>
      <c r="O27" s="54"/>
      <c r="P27" s="51"/>
      <c r="Q27" s="52">
        <v>0</v>
      </c>
      <c r="R27" s="51"/>
      <c r="S27" s="79">
        <v>0</v>
      </c>
      <c r="T27" s="66"/>
      <c r="U27" s="66"/>
      <c r="V27" s="44">
        <v>0</v>
      </c>
      <c r="W27" s="54"/>
      <c r="X27" s="51"/>
      <c r="Y27" s="52">
        <v>0</v>
      </c>
      <c r="Z27" s="51"/>
      <c r="AA27" s="79">
        <v>0</v>
      </c>
      <c r="AB27" s="66"/>
      <c r="AC27" s="66"/>
      <c r="AD27" s="44">
        <v>0</v>
      </c>
      <c r="AE27" s="54"/>
      <c r="AF27" s="51"/>
      <c r="AG27" s="52">
        <v>0</v>
      </c>
      <c r="AH27" s="51"/>
      <c r="AI27" s="79">
        <v>0</v>
      </c>
      <c r="AJ27" s="66"/>
      <c r="AK27" s="66"/>
      <c r="AL27" s="44">
        <v>0</v>
      </c>
      <c r="AM27" s="54"/>
      <c r="AN27" s="51"/>
      <c r="AO27" s="52">
        <v>0</v>
      </c>
      <c r="AP27" s="51"/>
      <c r="AQ27" s="39"/>
      <c r="AR27" s="40"/>
      <c r="AS27" s="40"/>
      <c r="AT27" s="60">
        <v>0</v>
      </c>
      <c r="AU27" s="37"/>
      <c r="AV27" s="51"/>
      <c r="AW27" s="41">
        <f t="shared" si="1"/>
        <v>0</v>
      </c>
      <c r="AX27" s="42">
        <f t="shared" si="1"/>
        <v>0</v>
      </c>
      <c r="AY27" s="81">
        <f t="shared" si="1"/>
        <v>0</v>
      </c>
      <c r="AZ27" s="77">
        <f t="shared" si="1"/>
        <v>0</v>
      </c>
      <c r="BA27" s="77">
        <f t="shared" si="1"/>
        <v>0</v>
      </c>
      <c r="BB27" s="41">
        <f t="shared" si="1"/>
        <v>0</v>
      </c>
      <c r="BC27" s="42">
        <f t="shared" si="1"/>
        <v>0</v>
      </c>
      <c r="BD27" s="42">
        <f t="shared" si="1"/>
        <v>0</v>
      </c>
    </row>
    <row r="28" spans="1:56" x14ac:dyDescent="0.2">
      <c r="A28" s="85" t="s">
        <v>141</v>
      </c>
      <c r="B28" s="108"/>
      <c r="C28" s="108"/>
      <c r="D28" s="108"/>
      <c r="E28" s="108"/>
      <c r="F28" s="108"/>
      <c r="G28" s="87" t="s">
        <v>107</v>
      </c>
      <c r="H28" s="38"/>
      <c r="I28" s="45">
        <f>I10+I11+I12+I13+I14+I15+I16+I17+I18+I19+I20+I21+I22+I23+I24+I25+I26+I27</f>
        <v>0</v>
      </c>
      <c r="J28" s="46">
        <f>J10+J11+J12+J13+J14+J15+J16+J17+J18+J19+J20+J21+J22+J23+J24+J25+J26+J27</f>
        <v>0</v>
      </c>
      <c r="K28" s="76">
        <f>K10+K11+K12+K13+K14+K15+K16+K17+K18+K19+K20+K21+K22+K23+K24+K25+K26+K27</f>
        <v>0</v>
      </c>
      <c r="L28" s="77">
        <f>L10+L11+L12+L13+L14+L15+L16+L17+L18+L19+L20+L21+L22+L23+L24+L25+L26+L27</f>
        <v>0</v>
      </c>
      <c r="M28" s="77">
        <f>M10+M11+M12+M13+M14+M15+M16+M17+M18+M19+M20+M21+M22+M23+M24+M25+M26+M27</f>
        <v>0</v>
      </c>
      <c r="N28" s="45">
        <f>N12+N13+N14+N15+N16+N17+N18+N19+N20+N21+N22+N23+N24+N25+N26+N27</f>
        <v>0</v>
      </c>
      <c r="O28" s="46">
        <f>O12+O13+O14+O15+O16+O17+O18+O19+O20+O21+O22+O23+O24+O25+O26+O27</f>
        <v>0</v>
      </c>
      <c r="P28" s="46">
        <f>P12+P13+P14+P15+P16+P17+P18+P19+P20+P21+P22+P23+P24+P25+P26+P27</f>
        <v>0</v>
      </c>
      <c r="Q28" s="45">
        <f>Q10+Q11+Q12+Q13+Q14+Q15+Q16+Q17+Q18+Q19+Q20+Q21+Q22+Q23+Q24+Q25+Q26+Q27</f>
        <v>0</v>
      </c>
      <c r="R28" s="46">
        <f>R10+R11+R12+R13+R14+R15+R16+R17+R18+R19+R20+R21+R22+R23+R24+R25+R26+R27</f>
        <v>0</v>
      </c>
      <c r="S28" s="76">
        <f>S10+S11+S12+S13+S14+S15+S16+S17+S18+S19+S20+S21+S22+S23+S24+S25+S26+S27</f>
        <v>0</v>
      </c>
      <c r="T28" s="77">
        <f>T10+T11+T12+T13+T14+T15+T16+T17+T18+T19+T20+T21+T22+T23+T24+T25+T26+T27</f>
        <v>0</v>
      </c>
      <c r="U28" s="77">
        <f>U10+U11+U12+U13+U14+U15+U16+U17+U18+U19+U20+U21+U22+U23+U24+U25+U26+U27</f>
        <v>0</v>
      </c>
      <c r="V28" s="45">
        <f>V12+V13+V14+V15+V16+V17+V18+V19+V20+V21+V22+V23+V24+V25+V26+V27</f>
        <v>0</v>
      </c>
      <c r="W28" s="46">
        <f>W12+W13+W14+W15+W16+W17+W18+W19+W20+W21+W22+W23+W24+W25+W26+W27</f>
        <v>0</v>
      </c>
      <c r="X28" s="46">
        <f>X12+X13+X14+X15+X16+X17+X18+X19+X20+X21+X22+X23+X24+X25+X26+X27</f>
        <v>0</v>
      </c>
      <c r="Y28" s="45">
        <f>Y10+Y11+Y12+Y13+Y14+Y15+Y16+Y17+Y18+Y19+Y20+Y21+Y22+Y23+Y24+Y25+Y26+Y27</f>
        <v>0</v>
      </c>
      <c r="Z28" s="46">
        <f>Z10+Z11+Z12+Z13+Z14+Z15+Z16+Z17+Z18+Z19+Z20+Z21+Z22+Z23+Z24+Z25+Z26+Z27</f>
        <v>0</v>
      </c>
      <c r="AA28" s="76">
        <f>AA10+AA11+AA12+AA13+AA14+AA15+AA16+AA17+AA18+AA19+AA20+AA21+AA22+AA23+AA24+AA25+AA26+AA27</f>
        <v>0</v>
      </c>
      <c r="AB28" s="77">
        <f>AB10+AB11+AB12+AB13+AB14+AB15+AB16+AB17+AB18+AB19+AB20+AB21+AB22+AB23+AB24+AB25+AB26+AB27</f>
        <v>0</v>
      </c>
      <c r="AC28" s="77">
        <f>AC10+AC11+AC12+AC13+AC14+AC15+AC16+AC17+AC18+AC19+AC20+AC21+AC22+AC23+AC24+AC25+AC26+AC27</f>
        <v>0</v>
      </c>
      <c r="AD28" s="45">
        <f>AD12+AD13+AD14+AD15+AD16+AD17+AD18+AD19+AD20+AD21+AD22+AD23+AD24+AD25+AD26+AD27</f>
        <v>0</v>
      </c>
      <c r="AE28" s="46">
        <f>AE12+AE13+AE14+AE15+AE16+AE17+AE18+AE19+AE20+AE21+AE22+AE23+AE24+AE25+AE26+AE27</f>
        <v>0</v>
      </c>
      <c r="AF28" s="46">
        <f>AF12+AF13+AF14+AF15+AF16+AF17+AF18+AF19+AF20+AF21+AF22+AF23+AF24+AF25+AF26+AF27</f>
        <v>0</v>
      </c>
      <c r="AG28" s="45">
        <f>AG10+AG11+AG12+AG13+AG14+AG15+AG16+AG17+AG18+AG19+AG20+AG21+AG22+AG23+AG24+AG25+AG26+AG27</f>
        <v>0</v>
      </c>
      <c r="AH28" s="46">
        <f>AH10+AH11+AH12+AH13+AH14+AH15+AH16+AH17+AH18+AH19+AH20+AH21+AH22+AH23+AH24+AH25+AH26+AH27</f>
        <v>0</v>
      </c>
      <c r="AI28" s="76">
        <f>AI10+AI11+AI12+AI13+AI14+AI15+AI16+AI17+AI18+AI19+AI20+AI21+AI22+AI23+AI24+AI25+AI26+AI27</f>
        <v>0</v>
      </c>
      <c r="AJ28" s="77">
        <f>AJ10+AJ11+AJ12+AJ13+AJ14+AJ15+AJ16+AJ17+AJ18+AJ19+AJ20+AJ21+AJ22+AJ23+AJ24+AJ25+AJ26+AJ27</f>
        <v>0</v>
      </c>
      <c r="AK28" s="77">
        <f>AK10+AK11+AK12+AK13+AK14+AK15+AK16+AK17+AK18+AK19+AK20+AK21+AK22+AK23+AK24+AK25+AK26+AK27</f>
        <v>0</v>
      </c>
      <c r="AL28" s="45">
        <f>AL12+AL13+AL14+AL15+AL16+AL17+AL18+AL19+AL20+AL21+AL22+AL23+AL24+AL25+AL26+AL27</f>
        <v>0</v>
      </c>
      <c r="AM28" s="46">
        <f>AM12+AM13+AM14+AM15+AM16+AM17+AM18+AM19+AM20+AM21+AM22+AM23+AM24+AM25+AM26+AM27</f>
        <v>0</v>
      </c>
      <c r="AN28" s="46">
        <f>AN12+AN13+AN14+AN15+AN16+AN17+AN18+AN19+AN20+AN21+AN22+AN23+AN24+AN25+AN26+AN27</f>
        <v>0</v>
      </c>
      <c r="AO28" s="45">
        <f>AO10+AO11+AO12+AO13+AO14+AO15+AO16+AO17+AO18+AO19+AO20+AO21+AO22+AO23+AO24+AO25+AO26+AO27</f>
        <v>0</v>
      </c>
      <c r="AP28" s="46">
        <f>AP10+AP11+AP12+AP13+AP14+AP15+AP16+AP17+AP18+AP19+AP20+AP21+AP22+AP23+AP24+AP25+AP26+AP27</f>
        <v>0</v>
      </c>
      <c r="AQ28" s="47"/>
      <c r="AR28" s="47"/>
      <c r="AS28" s="47"/>
      <c r="AT28" s="45">
        <f>AT12+AT13+AT14+AT15+AT16+AT17+AT18+AT19+AT20+AT21+AT22+AT23+AT24+AT25+AT26+AT27</f>
        <v>0</v>
      </c>
      <c r="AU28" s="46">
        <f>AU12+AU13+AU14+AU15+AU16+AU17+AU18+AU19+AU20+AU21+AU22+AU23+AU24+AU25+AU26+AU27</f>
        <v>0</v>
      </c>
      <c r="AV28" s="46">
        <f>AV12+AV13+AV14+AV15+AV16+AV17+AV18+AV19+AV20+AV21+AV22+AV23+AV24+AV25+AV26+AV27</f>
        <v>0</v>
      </c>
      <c r="AW28" s="41">
        <f t="shared" ref="AW28:BB28" si="2">I28+Q28+Y28+AG28+AO28</f>
        <v>0</v>
      </c>
      <c r="AX28" s="42">
        <f t="shared" si="2"/>
        <v>0</v>
      </c>
      <c r="AY28" s="81">
        <f t="shared" si="2"/>
        <v>0</v>
      </c>
      <c r="AZ28" s="77">
        <f t="shared" si="2"/>
        <v>0</v>
      </c>
      <c r="BA28" s="77">
        <f t="shared" si="2"/>
        <v>0</v>
      </c>
      <c r="BB28" s="41">
        <f t="shared" si="2"/>
        <v>0</v>
      </c>
      <c r="BC28" s="42">
        <f t="shared" si="1"/>
        <v>0</v>
      </c>
      <c r="BD28" s="42">
        <f t="shared" si="1"/>
        <v>0</v>
      </c>
    </row>
    <row r="29" spans="1:56" x14ac:dyDescent="0.2">
      <c r="A29" s="65"/>
      <c r="B29" s="65"/>
      <c r="C29" s="65"/>
      <c r="D29" s="65"/>
      <c r="E29" s="65"/>
      <c r="F29" s="65"/>
      <c r="G29" s="109"/>
      <c r="H29" s="48"/>
      <c r="I29" s="62"/>
      <c r="J29" s="63"/>
      <c r="K29" s="64"/>
      <c r="L29" s="63"/>
      <c r="M29" s="63"/>
      <c r="N29" s="63"/>
      <c r="O29" s="63"/>
      <c r="P29" s="63"/>
      <c r="Q29" s="64"/>
      <c r="R29" s="63"/>
      <c r="S29" s="64"/>
      <c r="T29" s="63"/>
      <c r="U29" s="63"/>
      <c r="V29" s="63"/>
      <c r="W29" s="63"/>
      <c r="X29" s="63"/>
      <c r="Y29" s="64"/>
      <c r="Z29" s="63"/>
      <c r="AA29" s="64"/>
      <c r="AB29" s="63"/>
      <c r="AC29" s="63"/>
      <c r="AD29" s="63"/>
      <c r="AE29" s="63"/>
      <c r="AF29" s="63"/>
      <c r="AG29" s="64"/>
      <c r="AH29" s="63"/>
      <c r="AI29" s="64"/>
      <c r="AJ29" s="63"/>
      <c r="AK29" s="63"/>
      <c r="AL29" s="63"/>
      <c r="AM29" s="63"/>
      <c r="AN29" s="63"/>
      <c r="AO29" s="64"/>
      <c r="AP29" s="63"/>
      <c r="AQ29" s="39"/>
      <c r="AR29" s="49"/>
      <c r="AS29" s="49"/>
      <c r="AT29" s="59"/>
      <c r="AU29" s="59"/>
      <c r="AV29" s="59"/>
      <c r="AW29" s="41"/>
      <c r="AX29" s="42"/>
      <c r="AY29" s="41"/>
      <c r="AZ29" s="42"/>
      <c r="BA29" s="42"/>
      <c r="BB29" s="41"/>
      <c r="BC29" s="65"/>
      <c r="BD29" s="65"/>
    </row>
    <row r="30" spans="1:56" x14ac:dyDescent="0.2">
      <c r="A30" s="65" t="s">
        <v>83</v>
      </c>
      <c r="B30" s="65"/>
      <c r="C30" s="65"/>
      <c r="D30" s="65"/>
      <c r="E30" s="65"/>
      <c r="F30" s="65"/>
      <c r="G30" s="109"/>
      <c r="H30" s="48"/>
      <c r="I30" s="62"/>
      <c r="J30" s="63"/>
      <c r="K30" s="64"/>
      <c r="L30" s="63"/>
      <c r="M30" s="63"/>
      <c r="N30" s="63"/>
      <c r="O30" s="63"/>
      <c r="P30" s="63"/>
      <c r="Q30" s="64"/>
      <c r="R30" s="63"/>
      <c r="S30" s="64"/>
      <c r="T30" s="63"/>
      <c r="U30" s="63"/>
      <c r="V30" s="63"/>
      <c r="W30" s="63"/>
      <c r="X30" s="63"/>
      <c r="Y30" s="64"/>
      <c r="Z30" s="63"/>
      <c r="AA30" s="64"/>
      <c r="AB30" s="63"/>
      <c r="AC30" s="63"/>
      <c r="AD30" s="63"/>
      <c r="AE30" s="63"/>
      <c r="AF30" s="63"/>
      <c r="AG30" s="64"/>
      <c r="AH30" s="63"/>
      <c r="AI30" s="64"/>
      <c r="AJ30" s="63"/>
      <c r="AK30" s="63"/>
      <c r="AL30" s="63"/>
      <c r="AM30" s="63"/>
      <c r="AN30" s="63"/>
      <c r="AO30" s="64"/>
      <c r="AP30" s="63"/>
      <c r="AQ30" s="39"/>
      <c r="AR30" s="49"/>
      <c r="AS30" s="49"/>
      <c r="AT30" s="59"/>
      <c r="AU30" s="59"/>
      <c r="AV30" s="59"/>
      <c r="AW30" s="41"/>
      <c r="AX30" s="42"/>
      <c r="AY30" s="41"/>
      <c r="AZ30" s="42"/>
      <c r="BA30" s="42"/>
      <c r="BB30" s="41"/>
      <c r="BC30" s="65"/>
      <c r="BD30" s="65"/>
    </row>
    <row r="31" spans="1:56" x14ac:dyDescent="0.2">
      <c r="A31" s="65" t="s">
        <v>84</v>
      </c>
      <c r="B31" s="65"/>
      <c r="C31" s="65"/>
      <c r="D31" s="65"/>
      <c r="E31" s="65"/>
      <c r="F31" s="65"/>
      <c r="G31" s="110" t="s">
        <v>136</v>
      </c>
      <c r="H31" s="48"/>
      <c r="I31" s="67"/>
      <c r="J31" s="49"/>
      <c r="K31" s="80"/>
      <c r="L31" s="49"/>
      <c r="M31" s="49"/>
      <c r="N31" s="60"/>
      <c r="O31" s="34"/>
      <c r="P31" s="34"/>
      <c r="Q31" s="60"/>
      <c r="R31" s="49"/>
      <c r="S31" s="80"/>
      <c r="T31" s="49"/>
      <c r="U31" s="49"/>
      <c r="V31" s="60"/>
      <c r="W31" s="49"/>
      <c r="X31" s="49"/>
      <c r="Y31" s="60"/>
      <c r="Z31" s="49"/>
      <c r="AA31" s="80"/>
      <c r="AB31" s="49"/>
      <c r="AC31" s="49"/>
      <c r="AD31" s="68"/>
      <c r="AE31" s="34"/>
      <c r="AF31" s="34"/>
      <c r="AG31" s="60"/>
      <c r="AH31" s="49"/>
      <c r="AI31" s="80"/>
      <c r="AJ31" s="49"/>
      <c r="AK31" s="49"/>
      <c r="AL31" s="68"/>
      <c r="AM31" s="34"/>
      <c r="AN31" s="34"/>
      <c r="AO31" s="60"/>
      <c r="AP31" s="49"/>
      <c r="AQ31" s="39"/>
      <c r="AR31" s="49"/>
      <c r="AS31" s="49"/>
      <c r="AT31" s="68"/>
      <c r="AU31" s="34"/>
      <c r="AV31" s="34"/>
      <c r="AW31" s="41">
        <f>I31+Q31+Y31+AG31+AO31</f>
        <v>0</v>
      </c>
      <c r="AX31" s="47"/>
      <c r="AY31" s="81">
        <f>K31+S31+AA31+AI31+AQ31</f>
        <v>0</v>
      </c>
      <c r="AZ31" s="47"/>
      <c r="BA31" s="47"/>
      <c r="BB31" s="41">
        <f>N31+V31+AD31+AL31+AT31</f>
        <v>0</v>
      </c>
      <c r="BC31" s="49"/>
      <c r="BD31" s="49"/>
    </row>
    <row r="32" spans="1:56" x14ac:dyDescent="0.2">
      <c r="G32" s="73" t="s">
        <v>143</v>
      </c>
      <c r="I32" s="22"/>
      <c r="K32" s="21"/>
      <c r="Q32" s="21"/>
      <c r="S32" s="21"/>
      <c r="Y32" s="21"/>
      <c r="AA32" s="21"/>
      <c r="AG32" s="21"/>
      <c r="AI32" s="21"/>
      <c r="AO32" s="21"/>
      <c r="AQ32" s="21"/>
      <c r="AW32" s="24"/>
      <c r="AX32" s="25"/>
      <c r="AY32" s="25"/>
      <c r="AZ32" s="25"/>
      <c r="BA32" s="25"/>
    </row>
    <row r="33" spans="1:53" x14ac:dyDescent="0.2">
      <c r="A33" s="13" t="s">
        <v>85</v>
      </c>
      <c r="B33" s="13"/>
      <c r="C33" s="13"/>
      <c r="D33" s="13"/>
      <c r="E33" s="13"/>
      <c r="F33" s="13"/>
      <c r="I33" s="22"/>
      <c r="K33" s="21"/>
      <c r="S33" s="21"/>
      <c r="Y33" s="21"/>
      <c r="AA33" s="21"/>
      <c r="AG33" s="21"/>
      <c r="AI33" s="21"/>
      <c r="AO33" s="21"/>
      <c r="AQ33" s="21"/>
      <c r="AW33" s="24"/>
      <c r="AX33" s="25"/>
      <c r="AY33" s="25"/>
      <c r="AZ33" s="25"/>
      <c r="BA33" s="25"/>
    </row>
  </sheetData>
  <sheetProtection sheet="1" objects="1" scenarios="1" selectLockedCells="1"/>
  <mergeCells count="33">
    <mergeCell ref="A1:AC1"/>
    <mergeCell ref="AG1:BA1"/>
    <mergeCell ref="AW8:AX8"/>
    <mergeCell ref="AY8:BA8"/>
    <mergeCell ref="AO8:AP8"/>
    <mergeCell ref="AQ8:AS8"/>
    <mergeCell ref="A7:A9"/>
    <mergeCell ref="G7:G9"/>
    <mergeCell ref="A2:BA2"/>
    <mergeCell ref="A3:BA3"/>
    <mergeCell ref="A4:BA4"/>
    <mergeCell ref="A5:BA5"/>
    <mergeCell ref="A6:BA6"/>
    <mergeCell ref="I8:J8"/>
    <mergeCell ref="K8:M8"/>
    <mergeCell ref="AI8:AK8"/>
    <mergeCell ref="N8:P8"/>
    <mergeCell ref="V8:X8"/>
    <mergeCell ref="AD8:AF8"/>
    <mergeCell ref="I7:P7"/>
    <mergeCell ref="Q7:X7"/>
    <mergeCell ref="Y7:AF7"/>
    <mergeCell ref="Y8:Z8"/>
    <mergeCell ref="AA8:AC8"/>
    <mergeCell ref="Q8:R8"/>
    <mergeCell ref="S8:U8"/>
    <mergeCell ref="BB8:BD8"/>
    <mergeCell ref="AW7:BD7"/>
    <mergeCell ref="AL8:AN8"/>
    <mergeCell ref="AG7:AN7"/>
    <mergeCell ref="AT8:AV8"/>
    <mergeCell ref="AO7:AV7"/>
    <mergeCell ref="AG8:AH8"/>
  </mergeCells>
  <phoneticPr fontId="0" type="noConversion"/>
  <dataValidations count="48">
    <dataValidation type="decimal" operator="greaterThanOrEqual" allowBlank="1" showInputMessage="1" showErrorMessage="1" errorTitle="Invalid Entry" error="The value you entered is not valid." sqref="I29:AP30">
      <formula1>0</formula1>
    </dataValidation>
    <dataValidation allowBlank="1" showInputMessage="1" showErrorMessage="1" sqref="AY12:BA33 AW12:AX28 AQ29:AX30 AT32:AT33 I28:AV28 BC10:BD28 BB10:BB31 N32:N33 I32:I33 K32:K33 L31:M33 J31:J33 O31:P33 Q32:Q33 R31:R33 S32:S33 T31:U33 V32:V33 W31:X33 Y32:Y33 Z31:Z33 AA32:AA33 AB31:AC33 AD32:AD33 AE31:AF33 AG32:AG33 AH31:AH33 AI32:AI33 AJ31:AK33 AL32:AL33 AM31:AN33 AO32:AO33 AP31:AS33 AU31:AX33 AW10:BA11 AQ10:AS27"/>
    <dataValidation type="decimal" allowBlank="1" showInputMessage="1" showErrorMessage="1" errorTitle="Invalid Entry" error="Amount entered should be within the range of deposits size when divided by the number of accounts." sqref="J10:J27">
      <formula1>B10*I10</formula1>
      <formula2>C10*I10</formula2>
    </dataValidation>
    <dataValidation type="decimal" allowBlank="1" showInputMessage="1" showErrorMessage="1" errorTitle="Invalid Entry" error="Amount entered should be within the range of deposits size when divided by the number of accounts." sqref="C27 M10:M27">
      <formula1>XEV10*A10</formula1>
      <formula2>XEW10*A10</formula2>
    </dataValidation>
    <dataValidation type="decimal" allowBlank="1" showInputMessage="1" showErrorMessage="1" errorTitle="Invalid Entry" error="Amount entered should be within the range of deposits size when divided by the number of accounts." sqref="P10:P27">
      <formula1>B10*N10</formula1>
      <formula2>C10*N10</formula2>
    </dataValidation>
    <dataValidation type="decimal" allowBlank="1" showInputMessage="1" showErrorMessage="1" errorTitle="Invalid Entry" error="Amount entered should be within the range of deposits size when divided by the number of accounts." sqref="R10:R27">
      <formula1>B10*Q10</formula1>
      <formula2>C10*Q10</formula2>
    </dataValidation>
    <dataValidation type="decimal" allowBlank="1" showInputMessage="1" showErrorMessage="1" errorTitle="Invalid Entry" error="Amount entered should be within the range of deposits size when divided by the number of accounts." sqref="U10:U27">
      <formula1>B10*S10</formula1>
      <formula2>C10*S10</formula2>
    </dataValidation>
    <dataValidation type="decimal" allowBlank="1" showInputMessage="1" showErrorMessage="1" errorTitle="Invalid Entry" error="Amount entered should be within the range of deposits size when divided by the number of accounts." sqref="X10:X27">
      <formula1>B10*V10</formula1>
      <formula2>C10*V10</formula2>
    </dataValidation>
    <dataValidation type="decimal" allowBlank="1" showInputMessage="1" showErrorMessage="1" errorTitle="Invalid Entry" error="Amount entered should be within the range of deposits size when divided by the number of accounts." sqref="Z10:Z27">
      <formula1>B10*Y10</formula1>
      <formula2>C10*Y10</formula2>
    </dataValidation>
    <dataValidation type="decimal" allowBlank="1" showInputMessage="1" showErrorMessage="1" errorTitle="Invalid Entry" error="Amount entered should be within the range of deposits size when divided by the number of accounts." sqref="AC10:AC27">
      <formula1>B10*AA10</formula1>
      <formula2>C10*AA10</formula2>
    </dataValidation>
    <dataValidation type="decimal" allowBlank="1" showInputMessage="1" showErrorMessage="1" errorTitle="Invalid Entry" error="Amount entered should be within the range of deposits size when divided by the number of accounts." sqref="AF10:AF27">
      <formula1>B10*AD10</formula1>
      <formula2>C10*AD10</formula2>
    </dataValidation>
    <dataValidation type="decimal" allowBlank="1" showInputMessage="1" showErrorMessage="1" errorTitle="Invalid Entry" error="Amount entered should be within the range of deposits size when divided by the number of accounts." sqref="AH10:AH27">
      <formula1>B10*AG10</formula1>
      <formula2>C10*AG10</formula2>
    </dataValidation>
    <dataValidation type="decimal" allowBlank="1" showInputMessage="1" showErrorMessage="1" errorTitle="Invalid Entry" error="Amount entered should be within the range of deposits size when divided by the number of accounts." sqref="AK10:AK27">
      <formula1>B10*AI10</formula1>
      <formula2>C10*AI10</formula2>
    </dataValidation>
    <dataValidation type="decimal" allowBlank="1" showInputMessage="1" showErrorMessage="1" errorTitle="Invalid Entry" error="Amount entered should be within the range of deposits size when divided by the number of accounts." sqref="AN10:AN27">
      <formula1>B10*AL10</formula1>
      <formula2>C10*AL10</formula2>
    </dataValidation>
    <dataValidation type="decimal" allowBlank="1" showInputMessage="1" showErrorMessage="1" errorTitle="Invalid Entry" error="Amount entered should be within the range of deposits size when divided by the number of accounts." sqref="AP10:AP27">
      <formula1>B10*AO10</formula1>
      <formula2>C10*AO10</formula2>
    </dataValidation>
    <dataValidation type="decimal" allowBlank="1" showInputMessage="1" showErrorMessage="1" errorTitle="Invalid Entry" error="Amount entered should be within the range of deposits size when divided by the number of accounts." sqref="AV10:AV27">
      <formula1>B10*AT10</formula1>
      <formula2>C10*AT10</formula2>
    </dataValidation>
    <dataValidation allowBlank="1" showInputMessage="1" showErrorMessage="1" errorTitle="Invalid Entry" error="Amount entered should be within the range of deposits size when divided by the number of accounts." sqref="AU10:AU27 AM10:AM27 AJ10:AJ27 AE10:AE27 AB10:AB27 W10:W27 T10:T27 O10:O27 L10:L27"/>
    <dataValidation type="whole" operator="greaterThanOrEqual" allowBlank="1" showInputMessage="1" showErrorMessage="1" sqref="I31 K31 N31 Q31 S31 V31 Y31 AA31 AD31 AG31 AI31 AL31 AO31 AT31">
      <formula1>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I27">
      <formula1>J27/B27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K27 K10">
      <formula1>M10/C10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N27 N10">
      <formula1>P10/C10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Q27 Q10">
      <formula1>R10/C10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S27 S10">
      <formula1>U10/C10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V27 V10">
      <formula1>X10/C10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Y27 Y10">
      <formula1>Z10/C10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A27 AA10">
      <formula1>AC10/C10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D27 AD10">
      <formula1>AF10/C10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I10">
      <formula1>J10/C10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I11:I26">
      <formula1>J11/C11</formula1>
      <formula2>J11/B11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K11:K26">
      <formula1>M11/C11</formula1>
      <formula2>M11/B11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N11:N26">
      <formula1>P11/C11</formula1>
      <formula2>P11/B11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Q11:Q26">
      <formula1>R11/C11</formula1>
      <formula2>R11/B11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S11:S26">
      <formula1>U11/C11</formula1>
      <formula2>U11/B11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V11:V26">
      <formula1>X11/C11</formula1>
      <formula2>X11/B11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Y11:Y26">
      <formula1>Z11/C11</formula1>
      <formula2>Z11/B11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A11:AA26">
      <formula1>AC11/C11</formula1>
      <formula2>AC11/B11</formula2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D23:AD26 AD11:AD21">
      <formula1>AF11/C11</formula1>
      <formula2>AF11/B11</formula2>
    </dataValidation>
    <dataValidation type="whole" operator="notBetween" allowBlank="1" showInputMessage="1" showErrorMessage="1" errorTitle="Invalid Entry" error="No. of Accts entered should not contain decimal places and correspondingly amount should be within the range of deposits size when divided by the number of accounts." sqref="AD22">
      <formula1>AF22/C22</formula1>
      <formula2>AF22/B22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G27 AG10">
      <formula1>AH10/C10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G11:AG26">
      <formula1>AH11/C11</formula1>
      <formula2>AH11/B11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I27 AI10">
      <formula1>AK10/C10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I11:AI26">
      <formula1>AK11/C11</formula1>
      <formula2>AK11/B11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L27 AL10">
      <formula1>AN10/C10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L11:AL26">
      <formula1>AN11/C11</formula1>
      <formula2>AN11/B11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O27 AO10">
      <formula1>AP10/C10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O11:AO26">
      <formula1>AP11/C11</formula1>
      <formula2>AP11/B11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T27 AT10">
      <formula1>AV10/C10</formula1>
    </dataValidation>
    <dataValidation type="whole" allowBlank="1" showInputMessage="1" showErrorMessage="1" errorTitle="Invalid Entry" error="No. of Accts entered should not contain decimal places and correspondingly amount should be within the range of deposits size when divided by the number of accounts." sqref="AT11:AT26">
      <formula1>AV11/C11</formula1>
      <formula2>AV11/B11</formula2>
    </dataValidation>
  </dataValidations>
  <printOptions horizontalCentered="1"/>
  <pageMargins left="0.25" right="0.25" top="1" bottom="0.5" header="0.5" footer="0.25"/>
  <pageSetup paperSize="9" scale="80" orientation="landscape" horizontalDpi="360" verticalDpi="360" r:id="rId1"/>
  <headerFooter alignWithMargins="0">
    <oddHeader>&amp;R&amp;"Arial,Bold"&amp;9&amp;USchedule 22a
&amp;U  &amp;P &amp;"Arial,Regular"of &amp;"Arial,Bold"&amp;N&amp;C&amp;"Arial,Bold"&amp;8 NEW RURAL BANK OF SAN LEONARDO INC.  [ 04-006056 ]
 As of: June 30, 2016</oddHeader>
  </headerFooter>
  <colBreaks count="1" manualBreakCount="1">
    <brk id="32" max="3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83"/>
  <sheetViews>
    <sheetView tabSelected="1" topLeftCell="B1" workbookViewId="0"/>
  </sheetViews>
  <sheetFormatPr defaultRowHeight="12.75" x14ac:dyDescent="0.2"/>
  <cols>
    <col min="1" max="1" width="43.42578125" style="27" hidden="1" customWidth="1"/>
    <col min="2" max="16384" width="9.140625" style="26"/>
  </cols>
  <sheetData>
    <row r="1" spans="1:1" x14ac:dyDescent="0.2">
      <c r="A1" s="82" t="s">
        <v>781</v>
      </c>
    </row>
    <row r="2" spans="1:1" x14ac:dyDescent="0.2">
      <c r="A2" s="82">
        <v>4</v>
      </c>
    </row>
    <row r="3" spans="1:1" x14ac:dyDescent="0.2">
      <c r="A3" s="82">
        <v>6056</v>
      </c>
    </row>
    <row r="4" spans="1:1" x14ac:dyDescent="0.2">
      <c r="A4" s="82">
        <v>8888</v>
      </c>
    </row>
    <row r="5" spans="1:1" x14ac:dyDescent="0.2">
      <c r="A5" s="82">
        <v>5</v>
      </c>
    </row>
    <row r="6" spans="1:1" x14ac:dyDescent="0.2">
      <c r="A6" s="82">
        <v>2016</v>
      </c>
    </row>
    <row r="7" spans="1:1" x14ac:dyDescent="0.2">
      <c r="A7" s="82">
        <v>20160630</v>
      </c>
    </row>
    <row r="8" spans="1:1" x14ac:dyDescent="0.2">
      <c r="A8" s="83" t="s">
        <v>144</v>
      </c>
    </row>
    <row r="9" spans="1:1" x14ac:dyDescent="0.2">
      <c r="A9" s="83" t="s">
        <v>780</v>
      </c>
    </row>
    <row r="10" spans="1:1" x14ac:dyDescent="0.2">
      <c r="A10" s="84">
        <v>2</v>
      </c>
    </row>
    <row r="11" spans="1:1" x14ac:dyDescent="0.2">
      <c r="A11" s="83" t="s">
        <v>760</v>
      </c>
    </row>
    <row r="12" spans="1:1" x14ac:dyDescent="0.2">
      <c r="A12" s="83"/>
    </row>
    <row r="13" spans="1:1" x14ac:dyDescent="0.2">
      <c r="A13" s="83"/>
    </row>
    <row r="14" spans="1:1" x14ac:dyDescent="0.2">
      <c r="A14" s="83"/>
    </row>
    <row r="15" spans="1:1" x14ac:dyDescent="0.2">
      <c r="A15" s="83"/>
    </row>
    <row r="16" spans="1:1" x14ac:dyDescent="0.2">
      <c r="A16" s="83"/>
    </row>
    <row r="17" spans="1:1" x14ac:dyDescent="0.2">
      <c r="A17" s="83"/>
    </row>
    <row r="18" spans="1:1" x14ac:dyDescent="0.2">
      <c r="A18" s="83"/>
    </row>
    <row r="19" spans="1:1" x14ac:dyDescent="0.2">
      <c r="A19" s="83"/>
    </row>
    <row r="20" spans="1:1" x14ac:dyDescent="0.2">
      <c r="A20" s="83">
        <v>6</v>
      </c>
    </row>
    <row r="21" spans="1:1" x14ac:dyDescent="0.2">
      <c r="A21" s="83">
        <v>2016</v>
      </c>
    </row>
    <row r="22" spans="1:1" x14ac:dyDescent="0.2">
      <c r="A22" s="83"/>
    </row>
    <row r="23" spans="1:1" x14ac:dyDescent="0.2">
      <c r="A23" s="83"/>
    </row>
    <row r="24" spans="1:1" x14ac:dyDescent="0.2">
      <c r="A24" s="83"/>
    </row>
    <row r="25" spans="1:1" x14ac:dyDescent="0.2">
      <c r="A25" s="83"/>
    </row>
    <row r="26" spans="1:1" x14ac:dyDescent="0.2">
      <c r="A26" s="83"/>
    </row>
    <row r="27" spans="1:1" x14ac:dyDescent="0.2">
      <c r="A27" s="83"/>
    </row>
    <row r="28" spans="1:1" x14ac:dyDescent="0.2">
      <c r="A28" s="83"/>
    </row>
    <row r="29" spans="1:1" x14ac:dyDescent="0.2">
      <c r="A29" s="83"/>
    </row>
    <row r="30" spans="1:1" x14ac:dyDescent="0.2">
      <c r="A30" s="83"/>
    </row>
    <row r="31" spans="1:1" x14ac:dyDescent="0.2">
      <c r="A31" s="83"/>
    </row>
    <row r="32" spans="1:1" x14ac:dyDescent="0.2">
      <c r="A32" s="83"/>
    </row>
    <row r="33" spans="1:1" x14ac:dyDescent="0.2">
      <c r="A33" s="83"/>
    </row>
    <row r="34" spans="1:1" x14ac:dyDescent="0.2">
      <c r="A34" s="83"/>
    </row>
    <row r="35" spans="1:1" x14ac:dyDescent="0.2">
      <c r="A35" s="83"/>
    </row>
    <row r="36" spans="1:1" x14ac:dyDescent="0.2">
      <c r="A36" s="83"/>
    </row>
    <row r="37" spans="1:1" x14ac:dyDescent="0.2">
      <c r="A37" s="83"/>
    </row>
    <row r="38" spans="1:1" x14ac:dyDescent="0.2">
      <c r="A38" s="83"/>
    </row>
    <row r="39" spans="1:1" x14ac:dyDescent="0.2">
      <c r="A39" s="83"/>
    </row>
    <row r="40" spans="1:1" x14ac:dyDescent="0.2">
      <c r="A40" s="83"/>
    </row>
    <row r="41" spans="1:1" x14ac:dyDescent="0.2">
      <c r="A41" s="83"/>
    </row>
    <row r="42" spans="1:1" x14ac:dyDescent="0.2">
      <c r="A42" s="83"/>
    </row>
    <row r="43" spans="1:1" x14ac:dyDescent="0.2">
      <c r="A43" s="83"/>
    </row>
    <row r="44" spans="1:1" x14ac:dyDescent="0.2">
      <c r="A44" s="83"/>
    </row>
    <row r="45" spans="1:1" x14ac:dyDescent="0.2">
      <c r="A45" s="83"/>
    </row>
    <row r="46" spans="1:1" x14ac:dyDescent="0.2">
      <c r="A46" s="83"/>
    </row>
    <row r="47" spans="1:1" x14ac:dyDescent="0.2">
      <c r="A47" s="83"/>
    </row>
    <row r="48" spans="1:1" x14ac:dyDescent="0.2">
      <c r="A48" s="83"/>
    </row>
    <row r="49" spans="1:1" x14ac:dyDescent="0.2">
      <c r="A49" s="83"/>
    </row>
    <row r="50" spans="1:1" x14ac:dyDescent="0.2">
      <c r="A50" s="83" t="s">
        <v>442</v>
      </c>
    </row>
    <row r="51" spans="1:1" x14ac:dyDescent="0.2">
      <c r="A51" s="83" t="s">
        <v>399</v>
      </c>
    </row>
    <row r="52" spans="1:1" x14ac:dyDescent="0.2">
      <c r="A52" s="83" t="s">
        <v>400</v>
      </c>
    </row>
    <row r="53" spans="1:1" x14ac:dyDescent="0.2">
      <c r="A53" s="83" t="s">
        <v>450</v>
      </c>
    </row>
    <row r="54" spans="1:1" x14ac:dyDescent="0.2">
      <c r="A54" s="83" t="s">
        <v>474</v>
      </c>
    </row>
    <row r="55" spans="1:1" x14ac:dyDescent="0.2">
      <c r="A55" s="83" t="s">
        <v>475</v>
      </c>
    </row>
    <row r="56" spans="1:1" x14ac:dyDescent="0.2">
      <c r="A56" s="83" t="s">
        <v>763</v>
      </c>
    </row>
    <row r="57" spans="1:1" x14ac:dyDescent="0.2">
      <c r="A57" s="83" t="s">
        <v>476</v>
      </c>
    </row>
    <row r="58" spans="1:1" x14ac:dyDescent="0.2">
      <c r="A58" s="83" t="s">
        <v>477</v>
      </c>
    </row>
    <row r="59" spans="1:1" x14ac:dyDescent="0.2">
      <c r="A59" s="83" t="s">
        <v>451</v>
      </c>
    </row>
    <row r="60" spans="1:1" x14ac:dyDescent="0.2">
      <c r="A60" s="83" t="s">
        <v>478</v>
      </c>
    </row>
    <row r="61" spans="1:1" x14ac:dyDescent="0.2">
      <c r="A61" s="83" t="s">
        <v>145</v>
      </c>
    </row>
    <row r="62" spans="1:1" x14ac:dyDescent="0.2">
      <c r="A62" s="83" t="s">
        <v>441</v>
      </c>
    </row>
    <row r="63" spans="1:1" x14ac:dyDescent="0.2">
      <c r="A63" s="83" t="s">
        <v>146</v>
      </c>
    </row>
    <row r="64" spans="1:1" x14ac:dyDescent="0.2">
      <c r="A64" s="83" t="s">
        <v>479</v>
      </c>
    </row>
    <row r="65" spans="1:1" x14ac:dyDescent="0.2">
      <c r="A65" s="83" t="s">
        <v>147</v>
      </c>
    </row>
    <row r="66" spans="1:1" x14ac:dyDescent="0.2">
      <c r="A66" s="83" t="s">
        <v>148</v>
      </c>
    </row>
    <row r="67" spans="1:1" x14ac:dyDescent="0.2">
      <c r="A67" s="83" t="s">
        <v>452</v>
      </c>
    </row>
    <row r="68" spans="1:1" x14ac:dyDescent="0.2">
      <c r="A68" s="83" t="s">
        <v>149</v>
      </c>
    </row>
    <row r="69" spans="1:1" x14ac:dyDescent="0.2">
      <c r="A69" s="83" t="s">
        <v>150</v>
      </c>
    </row>
    <row r="70" spans="1:1" x14ac:dyDescent="0.2">
      <c r="A70" s="83" t="s">
        <v>414</v>
      </c>
    </row>
    <row r="71" spans="1:1" x14ac:dyDescent="0.2">
      <c r="A71" s="83" t="s">
        <v>462</v>
      </c>
    </row>
    <row r="72" spans="1:1" x14ac:dyDescent="0.2">
      <c r="A72" s="83" t="s">
        <v>415</v>
      </c>
    </row>
    <row r="73" spans="1:1" x14ac:dyDescent="0.2">
      <c r="A73" s="83" t="s">
        <v>766</v>
      </c>
    </row>
    <row r="74" spans="1:1" x14ac:dyDescent="0.2">
      <c r="A74" s="83" t="s">
        <v>443</v>
      </c>
    </row>
    <row r="75" spans="1:1" x14ac:dyDescent="0.2">
      <c r="A75" s="83" t="s">
        <v>457</v>
      </c>
    </row>
    <row r="76" spans="1:1" x14ac:dyDescent="0.2">
      <c r="A76" s="83" t="s">
        <v>755</v>
      </c>
    </row>
    <row r="77" spans="1:1" x14ac:dyDescent="0.2">
      <c r="A77" s="83" t="s">
        <v>151</v>
      </c>
    </row>
    <row r="78" spans="1:1" x14ac:dyDescent="0.2">
      <c r="A78" s="83" t="s">
        <v>152</v>
      </c>
    </row>
    <row r="79" spans="1:1" x14ac:dyDescent="0.2">
      <c r="A79" s="83" t="s">
        <v>482</v>
      </c>
    </row>
    <row r="80" spans="1:1" x14ac:dyDescent="0.2">
      <c r="A80" s="83" t="s">
        <v>483</v>
      </c>
    </row>
    <row r="81" spans="1:1" x14ac:dyDescent="0.2">
      <c r="A81" s="83" t="s">
        <v>706</v>
      </c>
    </row>
    <row r="82" spans="1:1" x14ac:dyDescent="0.2">
      <c r="A82" s="83" t="s">
        <v>416</v>
      </c>
    </row>
    <row r="83" spans="1:1" x14ac:dyDescent="0.2">
      <c r="A83" s="83" t="s">
        <v>453</v>
      </c>
    </row>
    <row r="84" spans="1:1" x14ac:dyDescent="0.2">
      <c r="A84" s="83" t="s">
        <v>153</v>
      </c>
    </row>
    <row r="85" spans="1:1" x14ac:dyDescent="0.2">
      <c r="A85" s="83" t="s">
        <v>154</v>
      </c>
    </row>
    <row r="86" spans="1:1" x14ac:dyDescent="0.2">
      <c r="A86" s="83" t="s">
        <v>417</v>
      </c>
    </row>
    <row r="87" spans="1:1" x14ac:dyDescent="0.2">
      <c r="A87" s="83" t="s">
        <v>772</v>
      </c>
    </row>
    <row r="88" spans="1:1" x14ac:dyDescent="0.2">
      <c r="A88" s="83" t="s">
        <v>486</v>
      </c>
    </row>
    <row r="89" spans="1:1" x14ac:dyDescent="0.2">
      <c r="A89" s="83" t="s">
        <v>155</v>
      </c>
    </row>
    <row r="90" spans="1:1" x14ac:dyDescent="0.2">
      <c r="A90" s="83" t="s">
        <v>156</v>
      </c>
    </row>
    <row r="91" spans="1:1" x14ac:dyDescent="0.2">
      <c r="A91" s="83" t="s">
        <v>157</v>
      </c>
    </row>
    <row r="92" spans="1:1" x14ac:dyDescent="0.2">
      <c r="A92" s="83" t="s">
        <v>487</v>
      </c>
    </row>
    <row r="93" spans="1:1" x14ac:dyDescent="0.2">
      <c r="A93" s="83" t="s">
        <v>444</v>
      </c>
    </row>
    <row r="94" spans="1:1" x14ac:dyDescent="0.2">
      <c r="A94" s="83" t="s">
        <v>488</v>
      </c>
    </row>
    <row r="95" spans="1:1" x14ac:dyDescent="0.2">
      <c r="A95" s="83" t="s">
        <v>158</v>
      </c>
    </row>
    <row r="96" spans="1:1" x14ac:dyDescent="0.2">
      <c r="A96" s="83" t="s">
        <v>754</v>
      </c>
    </row>
    <row r="97" spans="1:1" x14ac:dyDescent="0.2">
      <c r="A97" s="83" t="s">
        <v>159</v>
      </c>
    </row>
    <row r="98" spans="1:1" x14ac:dyDescent="0.2">
      <c r="A98" s="83" t="s">
        <v>467</v>
      </c>
    </row>
    <row r="99" spans="1:1" x14ac:dyDescent="0.2">
      <c r="A99" s="83" t="s">
        <v>489</v>
      </c>
    </row>
    <row r="100" spans="1:1" x14ac:dyDescent="0.2">
      <c r="A100" s="83" t="s">
        <v>768</v>
      </c>
    </row>
    <row r="101" spans="1:1" x14ac:dyDescent="0.2">
      <c r="A101" s="83" t="s">
        <v>490</v>
      </c>
    </row>
    <row r="102" spans="1:1" x14ac:dyDescent="0.2">
      <c r="A102" s="83" t="s">
        <v>160</v>
      </c>
    </row>
    <row r="103" spans="1:1" x14ac:dyDescent="0.2">
      <c r="A103" s="83" t="s">
        <v>161</v>
      </c>
    </row>
    <row r="104" spans="1:1" x14ac:dyDescent="0.2">
      <c r="A104" s="83" t="s">
        <v>413</v>
      </c>
    </row>
    <row r="105" spans="1:1" x14ac:dyDescent="0.2">
      <c r="A105" s="83" t="s">
        <v>162</v>
      </c>
    </row>
    <row r="106" spans="1:1" x14ac:dyDescent="0.2">
      <c r="A106" s="83" t="s">
        <v>163</v>
      </c>
    </row>
    <row r="107" spans="1:1" x14ac:dyDescent="0.2">
      <c r="A107" s="83" t="s">
        <v>164</v>
      </c>
    </row>
    <row r="108" spans="1:1" x14ac:dyDescent="0.2">
      <c r="A108" s="83" t="s">
        <v>165</v>
      </c>
    </row>
    <row r="109" spans="1:1" x14ac:dyDescent="0.2">
      <c r="A109" s="83" t="s">
        <v>166</v>
      </c>
    </row>
    <row r="110" spans="1:1" x14ac:dyDescent="0.2">
      <c r="A110" s="83" t="s">
        <v>404</v>
      </c>
    </row>
    <row r="111" spans="1:1" x14ac:dyDescent="0.2">
      <c r="A111" s="83" t="s">
        <v>491</v>
      </c>
    </row>
    <row r="112" spans="1:1" x14ac:dyDescent="0.2">
      <c r="A112" s="83" t="s">
        <v>492</v>
      </c>
    </row>
    <row r="113" spans="1:1" x14ac:dyDescent="0.2">
      <c r="A113" s="83" t="s">
        <v>509</v>
      </c>
    </row>
    <row r="114" spans="1:1" x14ac:dyDescent="0.2">
      <c r="A114" s="83" t="s">
        <v>167</v>
      </c>
    </row>
    <row r="115" spans="1:1" x14ac:dyDescent="0.2">
      <c r="A115" s="83" t="s">
        <v>168</v>
      </c>
    </row>
    <row r="116" spans="1:1" x14ac:dyDescent="0.2">
      <c r="A116" s="83" t="s">
        <v>169</v>
      </c>
    </row>
    <row r="117" spans="1:1" x14ac:dyDescent="0.2">
      <c r="A117" s="83" t="s">
        <v>170</v>
      </c>
    </row>
    <row r="118" spans="1:1" x14ac:dyDescent="0.2">
      <c r="A118" s="83" t="s">
        <v>418</v>
      </c>
    </row>
    <row r="119" spans="1:1" x14ac:dyDescent="0.2">
      <c r="A119" s="83" t="s">
        <v>419</v>
      </c>
    </row>
    <row r="120" spans="1:1" x14ac:dyDescent="0.2">
      <c r="A120" s="83" t="s">
        <v>171</v>
      </c>
    </row>
    <row r="121" spans="1:1" x14ac:dyDescent="0.2">
      <c r="A121" s="83" t="s">
        <v>420</v>
      </c>
    </row>
    <row r="122" spans="1:1" x14ac:dyDescent="0.2">
      <c r="A122" s="83" t="s">
        <v>764</v>
      </c>
    </row>
    <row r="123" spans="1:1" x14ac:dyDescent="0.2">
      <c r="A123" s="83" t="s">
        <v>172</v>
      </c>
    </row>
    <row r="124" spans="1:1" x14ac:dyDescent="0.2">
      <c r="A124" s="83" t="s">
        <v>472</v>
      </c>
    </row>
    <row r="125" spans="1:1" x14ac:dyDescent="0.2">
      <c r="A125" s="83" t="s">
        <v>173</v>
      </c>
    </row>
    <row r="126" spans="1:1" x14ac:dyDescent="0.2">
      <c r="A126" s="83" t="s">
        <v>174</v>
      </c>
    </row>
    <row r="127" spans="1:1" x14ac:dyDescent="0.2">
      <c r="A127" s="83" t="s">
        <v>493</v>
      </c>
    </row>
    <row r="128" spans="1:1" x14ac:dyDescent="0.2">
      <c r="A128" s="83" t="s">
        <v>175</v>
      </c>
    </row>
    <row r="129" spans="1:1" x14ac:dyDescent="0.2">
      <c r="A129" s="83" t="s">
        <v>176</v>
      </c>
    </row>
    <row r="130" spans="1:1" x14ac:dyDescent="0.2">
      <c r="A130" s="83" t="s">
        <v>458</v>
      </c>
    </row>
    <row r="131" spans="1:1" x14ac:dyDescent="0.2">
      <c r="A131" s="83" t="s">
        <v>494</v>
      </c>
    </row>
    <row r="132" spans="1:1" x14ac:dyDescent="0.2">
      <c r="A132" s="83" t="s">
        <v>495</v>
      </c>
    </row>
    <row r="133" spans="1:1" x14ac:dyDescent="0.2">
      <c r="A133" s="83" t="s">
        <v>496</v>
      </c>
    </row>
    <row r="134" spans="1:1" x14ac:dyDescent="0.2">
      <c r="A134" s="83" t="s">
        <v>480</v>
      </c>
    </row>
    <row r="135" spans="1:1" x14ac:dyDescent="0.2">
      <c r="A135" s="83" t="s">
        <v>497</v>
      </c>
    </row>
    <row r="136" spans="1:1" x14ac:dyDescent="0.2">
      <c r="A136" s="83" t="s">
        <v>498</v>
      </c>
    </row>
    <row r="137" spans="1:1" x14ac:dyDescent="0.2">
      <c r="A137" s="83" t="s">
        <v>499</v>
      </c>
    </row>
    <row r="138" spans="1:1" x14ac:dyDescent="0.2">
      <c r="A138" s="83" t="s">
        <v>501</v>
      </c>
    </row>
    <row r="139" spans="1:1" x14ac:dyDescent="0.2">
      <c r="A139" s="83" t="s">
        <v>502</v>
      </c>
    </row>
    <row r="140" spans="1:1" x14ac:dyDescent="0.2">
      <c r="A140" s="83" t="s">
        <v>503</v>
      </c>
    </row>
    <row r="141" spans="1:1" x14ac:dyDescent="0.2">
      <c r="A141" s="83" t="s">
        <v>504</v>
      </c>
    </row>
    <row r="142" spans="1:1" x14ac:dyDescent="0.2">
      <c r="A142" s="83" t="s">
        <v>761</v>
      </c>
    </row>
    <row r="143" spans="1:1" x14ac:dyDescent="0.2">
      <c r="A143" s="83" t="s">
        <v>177</v>
      </c>
    </row>
    <row r="144" spans="1:1" x14ac:dyDescent="0.2">
      <c r="A144" s="83" t="s">
        <v>178</v>
      </c>
    </row>
    <row r="145" spans="1:1" x14ac:dyDescent="0.2">
      <c r="A145" s="83" t="s">
        <v>505</v>
      </c>
    </row>
    <row r="146" spans="1:1" x14ac:dyDescent="0.2">
      <c r="A146" s="83" t="s">
        <v>506</v>
      </c>
    </row>
    <row r="147" spans="1:1" x14ac:dyDescent="0.2">
      <c r="A147" s="83" t="s">
        <v>179</v>
      </c>
    </row>
    <row r="148" spans="1:1" x14ac:dyDescent="0.2">
      <c r="A148" s="83" t="s">
        <v>180</v>
      </c>
    </row>
    <row r="149" spans="1:1" x14ac:dyDescent="0.2">
      <c r="A149" s="83" t="s">
        <v>421</v>
      </c>
    </row>
    <row r="150" spans="1:1" x14ac:dyDescent="0.2">
      <c r="A150" s="83" t="s">
        <v>510</v>
      </c>
    </row>
    <row r="151" spans="1:1" x14ac:dyDescent="0.2">
      <c r="A151" s="83" t="s">
        <v>181</v>
      </c>
    </row>
    <row r="152" spans="1:1" x14ac:dyDescent="0.2">
      <c r="A152" s="83" t="s">
        <v>402</v>
      </c>
    </row>
    <row r="153" spans="1:1" x14ac:dyDescent="0.2">
      <c r="A153" s="83" t="s">
        <v>182</v>
      </c>
    </row>
    <row r="154" spans="1:1" x14ac:dyDescent="0.2">
      <c r="A154" s="83" t="s">
        <v>183</v>
      </c>
    </row>
    <row r="155" spans="1:1" x14ac:dyDescent="0.2">
      <c r="A155" s="83" t="s">
        <v>184</v>
      </c>
    </row>
    <row r="156" spans="1:1" x14ac:dyDescent="0.2">
      <c r="A156" s="83" t="s">
        <v>512</v>
      </c>
    </row>
    <row r="157" spans="1:1" x14ac:dyDescent="0.2">
      <c r="A157" s="83" t="s">
        <v>185</v>
      </c>
    </row>
    <row r="158" spans="1:1" x14ac:dyDescent="0.2">
      <c r="A158" s="83" t="s">
        <v>186</v>
      </c>
    </row>
    <row r="159" spans="1:1" x14ac:dyDescent="0.2">
      <c r="A159" s="83" t="s">
        <v>187</v>
      </c>
    </row>
    <row r="160" spans="1:1" x14ac:dyDescent="0.2">
      <c r="A160" s="83" t="s">
        <v>188</v>
      </c>
    </row>
    <row r="161" spans="1:1" x14ac:dyDescent="0.2">
      <c r="A161" s="83" t="s">
        <v>469</v>
      </c>
    </row>
    <row r="162" spans="1:1" x14ac:dyDescent="0.2">
      <c r="A162" s="83" t="s">
        <v>189</v>
      </c>
    </row>
    <row r="163" spans="1:1" x14ac:dyDescent="0.2">
      <c r="A163" s="83" t="s">
        <v>508</v>
      </c>
    </row>
    <row r="164" spans="1:1" x14ac:dyDescent="0.2">
      <c r="A164" s="83" t="s">
        <v>507</v>
      </c>
    </row>
    <row r="165" spans="1:1" x14ac:dyDescent="0.2">
      <c r="A165" s="83" t="s">
        <v>422</v>
      </c>
    </row>
    <row r="166" spans="1:1" x14ac:dyDescent="0.2">
      <c r="A166" s="83" t="s">
        <v>423</v>
      </c>
    </row>
    <row r="167" spans="1:1" x14ac:dyDescent="0.2">
      <c r="A167" s="83" t="s">
        <v>470</v>
      </c>
    </row>
    <row r="168" spans="1:1" x14ac:dyDescent="0.2">
      <c r="A168" s="83" t="s">
        <v>513</v>
      </c>
    </row>
    <row r="169" spans="1:1" x14ac:dyDescent="0.2">
      <c r="A169" s="83" t="s">
        <v>765</v>
      </c>
    </row>
    <row r="170" spans="1:1" x14ac:dyDescent="0.2">
      <c r="A170" s="83" t="s">
        <v>514</v>
      </c>
    </row>
    <row r="171" spans="1:1" x14ac:dyDescent="0.2">
      <c r="A171" s="83" t="s">
        <v>471</v>
      </c>
    </row>
    <row r="172" spans="1:1" x14ac:dyDescent="0.2">
      <c r="A172" s="83" t="s">
        <v>424</v>
      </c>
    </row>
    <row r="173" spans="1:1" x14ac:dyDescent="0.2">
      <c r="A173" s="83" t="s">
        <v>190</v>
      </c>
    </row>
    <row r="174" spans="1:1" x14ac:dyDescent="0.2">
      <c r="A174" s="83" t="s">
        <v>445</v>
      </c>
    </row>
    <row r="175" spans="1:1" x14ac:dyDescent="0.2">
      <c r="A175" s="83" t="s">
        <v>191</v>
      </c>
    </row>
    <row r="176" spans="1:1" x14ac:dyDescent="0.2">
      <c r="A176" s="83" t="s">
        <v>446</v>
      </c>
    </row>
    <row r="177" spans="1:1" x14ac:dyDescent="0.2">
      <c r="A177" s="83" t="s">
        <v>192</v>
      </c>
    </row>
    <row r="178" spans="1:1" x14ac:dyDescent="0.2">
      <c r="A178" s="83" t="s">
        <v>193</v>
      </c>
    </row>
    <row r="179" spans="1:1" x14ac:dyDescent="0.2">
      <c r="A179" s="83" t="s">
        <v>194</v>
      </c>
    </row>
    <row r="180" spans="1:1" x14ac:dyDescent="0.2">
      <c r="A180" s="83" t="s">
        <v>516</v>
      </c>
    </row>
    <row r="181" spans="1:1" x14ac:dyDescent="0.2">
      <c r="A181" s="83" t="s">
        <v>769</v>
      </c>
    </row>
    <row r="182" spans="1:1" x14ac:dyDescent="0.2">
      <c r="A182" s="83" t="s">
        <v>517</v>
      </c>
    </row>
    <row r="183" spans="1:1" x14ac:dyDescent="0.2">
      <c r="A183" s="83" t="s">
        <v>195</v>
      </c>
    </row>
    <row r="184" spans="1:1" x14ac:dyDescent="0.2">
      <c r="A184" s="83" t="s">
        <v>196</v>
      </c>
    </row>
    <row r="185" spans="1:1" x14ac:dyDescent="0.2">
      <c r="A185" s="83" t="s">
        <v>518</v>
      </c>
    </row>
    <row r="186" spans="1:1" x14ac:dyDescent="0.2">
      <c r="A186" s="83" t="s">
        <v>197</v>
      </c>
    </row>
    <row r="187" spans="1:1" x14ac:dyDescent="0.2">
      <c r="A187" s="83" t="s">
        <v>454</v>
      </c>
    </row>
    <row r="188" spans="1:1" x14ac:dyDescent="0.2">
      <c r="A188" s="83" t="s">
        <v>519</v>
      </c>
    </row>
    <row r="189" spans="1:1" x14ac:dyDescent="0.2">
      <c r="A189" s="83" t="s">
        <v>198</v>
      </c>
    </row>
    <row r="190" spans="1:1" x14ac:dyDescent="0.2">
      <c r="A190" s="83" t="s">
        <v>199</v>
      </c>
    </row>
    <row r="191" spans="1:1" x14ac:dyDescent="0.2">
      <c r="A191" s="83" t="s">
        <v>520</v>
      </c>
    </row>
    <row r="192" spans="1:1" x14ac:dyDescent="0.2">
      <c r="A192" s="83" t="s">
        <v>200</v>
      </c>
    </row>
    <row r="193" spans="1:1" x14ac:dyDescent="0.2">
      <c r="A193" s="83" t="s">
        <v>201</v>
      </c>
    </row>
    <row r="194" spans="1:1" x14ac:dyDescent="0.2">
      <c r="A194" s="83" t="s">
        <v>202</v>
      </c>
    </row>
    <row r="195" spans="1:1" x14ac:dyDescent="0.2">
      <c r="A195" s="83" t="s">
        <v>533</v>
      </c>
    </row>
    <row r="196" spans="1:1" x14ac:dyDescent="0.2">
      <c r="A196" s="83" t="s">
        <v>447</v>
      </c>
    </row>
    <row r="197" spans="1:1" x14ac:dyDescent="0.2">
      <c r="A197" s="83" t="s">
        <v>521</v>
      </c>
    </row>
    <row r="198" spans="1:1" x14ac:dyDescent="0.2">
      <c r="A198" s="83" t="s">
        <v>203</v>
      </c>
    </row>
    <row r="199" spans="1:1" x14ac:dyDescent="0.2">
      <c r="A199" s="83" t="s">
        <v>204</v>
      </c>
    </row>
    <row r="200" spans="1:1" x14ac:dyDescent="0.2">
      <c r="A200" s="83" t="s">
        <v>522</v>
      </c>
    </row>
    <row r="201" spans="1:1" x14ac:dyDescent="0.2">
      <c r="A201" s="83" t="s">
        <v>425</v>
      </c>
    </row>
    <row r="202" spans="1:1" x14ac:dyDescent="0.2">
      <c r="A202" s="83" t="s">
        <v>205</v>
      </c>
    </row>
    <row r="203" spans="1:1" x14ac:dyDescent="0.2">
      <c r="A203" s="83" t="s">
        <v>403</v>
      </c>
    </row>
    <row r="204" spans="1:1" x14ac:dyDescent="0.2">
      <c r="A204" s="83" t="s">
        <v>206</v>
      </c>
    </row>
    <row r="205" spans="1:1" x14ac:dyDescent="0.2">
      <c r="A205" s="83" t="s">
        <v>207</v>
      </c>
    </row>
    <row r="206" spans="1:1" x14ac:dyDescent="0.2">
      <c r="A206" s="83" t="s">
        <v>208</v>
      </c>
    </row>
    <row r="207" spans="1:1" x14ac:dyDescent="0.2">
      <c r="A207" s="83" t="s">
        <v>448</v>
      </c>
    </row>
    <row r="208" spans="1:1" x14ac:dyDescent="0.2">
      <c r="A208" s="83" t="s">
        <v>209</v>
      </c>
    </row>
    <row r="209" spans="1:1" x14ac:dyDescent="0.2">
      <c r="A209" s="83" t="s">
        <v>210</v>
      </c>
    </row>
    <row r="210" spans="1:1" x14ac:dyDescent="0.2">
      <c r="A210" s="83" t="s">
        <v>523</v>
      </c>
    </row>
    <row r="211" spans="1:1" x14ac:dyDescent="0.2">
      <c r="A211" s="83" t="s">
        <v>211</v>
      </c>
    </row>
    <row r="212" spans="1:1" x14ac:dyDescent="0.2">
      <c r="A212" s="83" t="s">
        <v>212</v>
      </c>
    </row>
    <row r="213" spans="1:1" x14ac:dyDescent="0.2">
      <c r="A213" s="83" t="s">
        <v>524</v>
      </c>
    </row>
    <row r="214" spans="1:1" x14ac:dyDescent="0.2">
      <c r="A214" s="83" t="s">
        <v>525</v>
      </c>
    </row>
    <row r="215" spans="1:1" x14ac:dyDescent="0.2">
      <c r="A215" s="83" t="s">
        <v>213</v>
      </c>
    </row>
    <row r="216" spans="1:1" x14ac:dyDescent="0.2">
      <c r="A216" s="83" t="s">
        <v>214</v>
      </c>
    </row>
    <row r="217" spans="1:1" x14ac:dyDescent="0.2">
      <c r="A217" s="83" t="s">
        <v>426</v>
      </c>
    </row>
    <row r="218" spans="1:1" x14ac:dyDescent="0.2">
      <c r="A218" s="83" t="s">
        <v>215</v>
      </c>
    </row>
    <row r="219" spans="1:1" x14ac:dyDescent="0.2">
      <c r="A219" s="83" t="s">
        <v>216</v>
      </c>
    </row>
    <row r="220" spans="1:1" x14ac:dyDescent="0.2">
      <c r="A220" s="83" t="s">
        <v>217</v>
      </c>
    </row>
    <row r="221" spans="1:1" x14ac:dyDescent="0.2">
      <c r="A221" s="83" t="s">
        <v>526</v>
      </c>
    </row>
    <row r="222" spans="1:1" x14ac:dyDescent="0.2">
      <c r="A222" s="83" t="s">
        <v>218</v>
      </c>
    </row>
    <row r="223" spans="1:1" x14ac:dyDescent="0.2">
      <c r="A223" s="83" t="s">
        <v>427</v>
      </c>
    </row>
    <row r="224" spans="1:1" x14ac:dyDescent="0.2">
      <c r="A224" s="83" t="s">
        <v>527</v>
      </c>
    </row>
    <row r="225" spans="1:1" x14ac:dyDescent="0.2">
      <c r="A225" s="83" t="s">
        <v>219</v>
      </c>
    </row>
    <row r="226" spans="1:1" x14ac:dyDescent="0.2">
      <c r="A226" s="83" t="s">
        <v>455</v>
      </c>
    </row>
    <row r="227" spans="1:1" x14ac:dyDescent="0.2">
      <c r="A227" s="83" t="s">
        <v>220</v>
      </c>
    </row>
    <row r="228" spans="1:1" x14ac:dyDescent="0.2">
      <c r="A228" s="83" t="s">
        <v>463</v>
      </c>
    </row>
    <row r="229" spans="1:1" x14ac:dyDescent="0.2">
      <c r="A229" s="83" t="s">
        <v>773</v>
      </c>
    </row>
    <row r="230" spans="1:1" x14ac:dyDescent="0.2">
      <c r="A230" s="83" t="s">
        <v>221</v>
      </c>
    </row>
    <row r="231" spans="1:1" x14ac:dyDescent="0.2">
      <c r="A231" s="83" t="s">
        <v>222</v>
      </c>
    </row>
    <row r="232" spans="1:1" x14ac:dyDescent="0.2">
      <c r="A232" s="83" t="s">
        <v>223</v>
      </c>
    </row>
    <row r="233" spans="1:1" x14ac:dyDescent="0.2">
      <c r="A233" s="83" t="s">
        <v>528</v>
      </c>
    </row>
    <row r="234" spans="1:1" x14ac:dyDescent="0.2">
      <c r="A234" s="83" t="s">
        <v>224</v>
      </c>
    </row>
    <row r="235" spans="1:1" x14ac:dyDescent="0.2">
      <c r="A235" s="83" t="s">
        <v>225</v>
      </c>
    </row>
    <row r="236" spans="1:1" x14ac:dyDescent="0.2">
      <c r="A236" s="83" t="s">
        <v>226</v>
      </c>
    </row>
    <row r="237" spans="1:1" x14ac:dyDescent="0.2">
      <c r="A237" s="83" t="s">
        <v>529</v>
      </c>
    </row>
    <row r="238" spans="1:1" x14ac:dyDescent="0.2">
      <c r="A238" s="83" t="s">
        <v>771</v>
      </c>
    </row>
    <row r="239" spans="1:1" x14ac:dyDescent="0.2">
      <c r="A239" s="83" t="s">
        <v>530</v>
      </c>
    </row>
    <row r="240" spans="1:1" x14ac:dyDescent="0.2">
      <c r="A240" s="83" t="s">
        <v>428</v>
      </c>
    </row>
    <row r="241" spans="1:1" x14ac:dyDescent="0.2">
      <c r="A241" s="83" t="s">
        <v>531</v>
      </c>
    </row>
    <row r="242" spans="1:1" x14ac:dyDescent="0.2">
      <c r="A242" s="83" t="s">
        <v>532</v>
      </c>
    </row>
    <row r="243" spans="1:1" x14ac:dyDescent="0.2">
      <c r="A243" s="83" t="s">
        <v>227</v>
      </c>
    </row>
    <row r="244" spans="1:1" x14ac:dyDescent="0.2">
      <c r="A244" s="83" t="s">
        <v>739</v>
      </c>
    </row>
    <row r="245" spans="1:1" x14ac:dyDescent="0.2">
      <c r="A245" s="83" t="s">
        <v>228</v>
      </c>
    </row>
    <row r="246" spans="1:1" x14ac:dyDescent="0.2">
      <c r="A246" s="83" t="s">
        <v>460</v>
      </c>
    </row>
    <row r="247" spans="1:1" x14ac:dyDescent="0.2">
      <c r="A247" s="83" t="s">
        <v>229</v>
      </c>
    </row>
    <row r="248" spans="1:1" x14ac:dyDescent="0.2">
      <c r="A248" s="83" t="s">
        <v>481</v>
      </c>
    </row>
    <row r="249" spans="1:1" x14ac:dyDescent="0.2">
      <c r="A249" s="83" t="s">
        <v>429</v>
      </c>
    </row>
    <row r="250" spans="1:1" x14ac:dyDescent="0.2">
      <c r="A250" s="83" t="s">
        <v>534</v>
      </c>
    </row>
    <row r="251" spans="1:1" x14ac:dyDescent="0.2">
      <c r="A251" s="83" t="s">
        <v>535</v>
      </c>
    </row>
    <row r="252" spans="1:1" x14ac:dyDescent="0.2">
      <c r="A252" s="83" t="s">
        <v>430</v>
      </c>
    </row>
    <row r="253" spans="1:1" x14ac:dyDescent="0.2">
      <c r="A253" s="83" t="s">
        <v>500</v>
      </c>
    </row>
    <row r="254" spans="1:1" x14ac:dyDescent="0.2">
      <c r="A254" s="83" t="s">
        <v>230</v>
      </c>
    </row>
    <row r="255" spans="1:1" x14ac:dyDescent="0.2">
      <c r="A255" s="83" t="s">
        <v>401</v>
      </c>
    </row>
    <row r="256" spans="1:1" x14ac:dyDescent="0.2">
      <c r="A256" s="83" t="s">
        <v>431</v>
      </c>
    </row>
    <row r="257" spans="1:1" x14ac:dyDescent="0.2">
      <c r="A257" s="83" t="s">
        <v>231</v>
      </c>
    </row>
    <row r="258" spans="1:1" x14ac:dyDescent="0.2">
      <c r="A258" s="83" t="s">
        <v>536</v>
      </c>
    </row>
    <row r="259" spans="1:1" x14ac:dyDescent="0.2">
      <c r="A259" s="83" t="s">
        <v>232</v>
      </c>
    </row>
    <row r="260" spans="1:1" x14ac:dyDescent="0.2">
      <c r="A260" s="83" t="s">
        <v>233</v>
      </c>
    </row>
    <row r="261" spans="1:1" x14ac:dyDescent="0.2">
      <c r="A261" s="83" t="s">
        <v>432</v>
      </c>
    </row>
    <row r="262" spans="1:1" x14ac:dyDescent="0.2">
      <c r="A262" s="83" t="s">
        <v>234</v>
      </c>
    </row>
    <row r="263" spans="1:1" x14ac:dyDescent="0.2">
      <c r="A263" s="83" t="s">
        <v>537</v>
      </c>
    </row>
    <row r="264" spans="1:1" x14ac:dyDescent="0.2">
      <c r="A264" s="83" t="s">
        <v>235</v>
      </c>
    </row>
    <row r="265" spans="1:1" x14ac:dyDescent="0.2">
      <c r="A265" s="83" t="s">
        <v>459</v>
      </c>
    </row>
    <row r="266" spans="1:1" x14ac:dyDescent="0.2">
      <c r="A266" s="83" t="s">
        <v>538</v>
      </c>
    </row>
    <row r="267" spans="1:1" x14ac:dyDescent="0.2">
      <c r="A267" s="83" t="s">
        <v>539</v>
      </c>
    </row>
    <row r="268" spans="1:1" x14ac:dyDescent="0.2">
      <c r="A268" s="83" t="s">
        <v>456</v>
      </c>
    </row>
    <row r="269" spans="1:1" x14ac:dyDescent="0.2">
      <c r="A269" s="83" t="s">
        <v>770</v>
      </c>
    </row>
    <row r="270" spans="1:1" x14ac:dyDescent="0.2">
      <c r="A270" s="83" t="s">
        <v>236</v>
      </c>
    </row>
    <row r="271" spans="1:1" x14ac:dyDescent="0.2">
      <c r="A271" s="83" t="s">
        <v>540</v>
      </c>
    </row>
    <row r="272" spans="1:1" x14ac:dyDescent="0.2">
      <c r="A272" s="83" t="s">
        <v>433</v>
      </c>
    </row>
    <row r="273" spans="1:1" x14ac:dyDescent="0.2">
      <c r="A273" s="83" t="s">
        <v>541</v>
      </c>
    </row>
    <row r="274" spans="1:1" x14ac:dyDescent="0.2">
      <c r="A274" s="83" t="s">
        <v>468</v>
      </c>
    </row>
    <row r="275" spans="1:1" x14ac:dyDescent="0.2">
      <c r="A275" s="83" t="s">
        <v>237</v>
      </c>
    </row>
    <row r="276" spans="1:1" x14ac:dyDescent="0.2">
      <c r="A276" s="83" t="s">
        <v>434</v>
      </c>
    </row>
    <row r="277" spans="1:1" x14ac:dyDescent="0.2">
      <c r="A277" s="83" t="s">
        <v>542</v>
      </c>
    </row>
    <row r="278" spans="1:1" x14ac:dyDescent="0.2">
      <c r="A278" s="83" t="s">
        <v>543</v>
      </c>
    </row>
    <row r="279" spans="1:1" x14ac:dyDescent="0.2">
      <c r="A279" s="83" t="s">
        <v>238</v>
      </c>
    </row>
    <row r="280" spans="1:1" x14ac:dyDescent="0.2">
      <c r="A280" s="83" t="s">
        <v>435</v>
      </c>
    </row>
    <row r="281" spans="1:1" x14ac:dyDescent="0.2">
      <c r="A281" s="83" t="s">
        <v>239</v>
      </c>
    </row>
    <row r="282" spans="1:1" x14ac:dyDescent="0.2">
      <c r="A282" s="83" t="s">
        <v>544</v>
      </c>
    </row>
    <row r="283" spans="1:1" x14ac:dyDescent="0.2">
      <c r="A283" s="83" t="s">
        <v>240</v>
      </c>
    </row>
    <row r="284" spans="1:1" x14ac:dyDescent="0.2">
      <c r="A284" s="83" t="s">
        <v>241</v>
      </c>
    </row>
    <row r="285" spans="1:1" x14ac:dyDescent="0.2">
      <c r="A285" s="83" t="s">
        <v>405</v>
      </c>
    </row>
    <row r="286" spans="1:1" x14ac:dyDescent="0.2">
      <c r="A286" s="83" t="s">
        <v>545</v>
      </c>
    </row>
    <row r="287" spans="1:1" x14ac:dyDescent="0.2">
      <c r="A287" s="83" t="s">
        <v>546</v>
      </c>
    </row>
    <row r="288" spans="1:1" x14ac:dyDescent="0.2">
      <c r="A288" s="83" t="s">
        <v>242</v>
      </c>
    </row>
    <row r="289" spans="1:1" x14ac:dyDescent="0.2">
      <c r="A289" s="83" t="s">
        <v>547</v>
      </c>
    </row>
    <row r="290" spans="1:1" x14ac:dyDescent="0.2">
      <c r="A290" s="83" t="s">
        <v>548</v>
      </c>
    </row>
    <row r="291" spans="1:1" x14ac:dyDescent="0.2">
      <c r="A291" s="83" t="s">
        <v>243</v>
      </c>
    </row>
    <row r="292" spans="1:1" x14ac:dyDescent="0.2">
      <c r="A292" s="83" t="s">
        <v>244</v>
      </c>
    </row>
    <row r="293" spans="1:1" x14ac:dyDescent="0.2">
      <c r="A293" s="83" t="s">
        <v>549</v>
      </c>
    </row>
    <row r="294" spans="1:1" x14ac:dyDescent="0.2">
      <c r="A294" s="83" t="s">
        <v>550</v>
      </c>
    </row>
    <row r="295" spans="1:1" x14ac:dyDescent="0.2">
      <c r="A295" s="83" t="s">
        <v>245</v>
      </c>
    </row>
    <row r="296" spans="1:1" x14ac:dyDescent="0.2">
      <c r="A296" s="83" t="s">
        <v>551</v>
      </c>
    </row>
    <row r="297" spans="1:1" x14ac:dyDescent="0.2">
      <c r="A297" s="83" t="s">
        <v>246</v>
      </c>
    </row>
    <row r="298" spans="1:1" x14ac:dyDescent="0.2">
      <c r="A298" s="83" t="s">
        <v>552</v>
      </c>
    </row>
    <row r="299" spans="1:1" x14ac:dyDescent="0.2">
      <c r="A299" s="83" t="s">
        <v>553</v>
      </c>
    </row>
    <row r="300" spans="1:1" x14ac:dyDescent="0.2">
      <c r="A300" s="83" t="s">
        <v>554</v>
      </c>
    </row>
    <row r="301" spans="1:1" x14ac:dyDescent="0.2">
      <c r="A301" s="83" t="s">
        <v>247</v>
      </c>
    </row>
    <row r="302" spans="1:1" x14ac:dyDescent="0.2">
      <c r="A302" s="83" t="s">
        <v>248</v>
      </c>
    </row>
    <row r="303" spans="1:1" x14ac:dyDescent="0.2">
      <c r="A303" s="83" t="s">
        <v>249</v>
      </c>
    </row>
    <row r="304" spans="1:1" x14ac:dyDescent="0.2">
      <c r="A304" s="83" t="s">
        <v>250</v>
      </c>
    </row>
    <row r="305" spans="1:1" x14ac:dyDescent="0.2">
      <c r="A305" s="83" t="s">
        <v>251</v>
      </c>
    </row>
    <row r="306" spans="1:1" x14ac:dyDescent="0.2">
      <c r="A306" s="83" t="s">
        <v>252</v>
      </c>
    </row>
    <row r="307" spans="1:1" x14ac:dyDescent="0.2">
      <c r="A307" s="83" t="s">
        <v>253</v>
      </c>
    </row>
    <row r="308" spans="1:1" x14ac:dyDescent="0.2">
      <c r="A308" s="83" t="s">
        <v>555</v>
      </c>
    </row>
    <row r="309" spans="1:1" x14ac:dyDescent="0.2">
      <c r="A309" s="83" t="s">
        <v>254</v>
      </c>
    </row>
    <row r="310" spans="1:1" x14ac:dyDescent="0.2">
      <c r="A310" s="83" t="s">
        <v>556</v>
      </c>
    </row>
    <row r="311" spans="1:1" x14ac:dyDescent="0.2">
      <c r="A311" s="83" t="s">
        <v>557</v>
      </c>
    </row>
    <row r="312" spans="1:1" x14ac:dyDescent="0.2">
      <c r="A312" s="83" t="s">
        <v>558</v>
      </c>
    </row>
    <row r="313" spans="1:1" x14ac:dyDescent="0.2">
      <c r="A313" s="83" t="s">
        <v>559</v>
      </c>
    </row>
    <row r="314" spans="1:1" x14ac:dyDescent="0.2">
      <c r="A314" s="83" t="s">
        <v>255</v>
      </c>
    </row>
    <row r="315" spans="1:1" x14ac:dyDescent="0.2">
      <c r="A315" s="83" t="s">
        <v>560</v>
      </c>
    </row>
    <row r="316" spans="1:1" x14ac:dyDescent="0.2">
      <c r="A316" s="83" t="s">
        <v>561</v>
      </c>
    </row>
    <row r="317" spans="1:1" x14ac:dyDescent="0.2">
      <c r="A317" s="83" t="s">
        <v>562</v>
      </c>
    </row>
    <row r="318" spans="1:1" x14ac:dyDescent="0.2">
      <c r="A318" s="83" t="s">
        <v>563</v>
      </c>
    </row>
    <row r="319" spans="1:1" x14ac:dyDescent="0.2">
      <c r="A319" s="83" t="s">
        <v>564</v>
      </c>
    </row>
    <row r="320" spans="1:1" x14ac:dyDescent="0.2">
      <c r="A320" s="83" t="s">
        <v>565</v>
      </c>
    </row>
    <row r="321" spans="1:1" x14ac:dyDescent="0.2">
      <c r="A321" s="83" t="s">
        <v>566</v>
      </c>
    </row>
    <row r="322" spans="1:1" x14ac:dyDescent="0.2">
      <c r="A322" s="83" t="s">
        <v>567</v>
      </c>
    </row>
    <row r="323" spans="1:1" x14ac:dyDescent="0.2">
      <c r="A323" s="83" t="s">
        <v>568</v>
      </c>
    </row>
    <row r="324" spans="1:1" x14ac:dyDescent="0.2">
      <c r="A324" s="83" t="s">
        <v>256</v>
      </c>
    </row>
    <row r="325" spans="1:1" x14ac:dyDescent="0.2">
      <c r="A325" s="83" t="s">
        <v>569</v>
      </c>
    </row>
    <row r="326" spans="1:1" x14ac:dyDescent="0.2">
      <c r="A326" s="83" t="s">
        <v>570</v>
      </c>
    </row>
    <row r="327" spans="1:1" x14ac:dyDescent="0.2">
      <c r="A327" s="83" t="s">
        <v>571</v>
      </c>
    </row>
    <row r="328" spans="1:1" x14ac:dyDescent="0.2">
      <c r="A328" s="83" t="s">
        <v>257</v>
      </c>
    </row>
    <row r="329" spans="1:1" x14ac:dyDescent="0.2">
      <c r="A329" s="83" t="s">
        <v>572</v>
      </c>
    </row>
    <row r="330" spans="1:1" x14ac:dyDescent="0.2">
      <c r="A330" s="83" t="s">
        <v>258</v>
      </c>
    </row>
    <row r="331" spans="1:1" x14ac:dyDescent="0.2">
      <c r="A331" s="83" t="s">
        <v>259</v>
      </c>
    </row>
    <row r="332" spans="1:1" x14ac:dyDescent="0.2">
      <c r="A332" s="83" t="s">
        <v>573</v>
      </c>
    </row>
    <row r="333" spans="1:1" x14ac:dyDescent="0.2">
      <c r="A333" s="83" t="s">
        <v>574</v>
      </c>
    </row>
    <row r="334" spans="1:1" x14ac:dyDescent="0.2">
      <c r="A334" s="83" t="s">
        <v>260</v>
      </c>
    </row>
    <row r="335" spans="1:1" x14ac:dyDescent="0.2">
      <c r="A335" s="83" t="s">
        <v>575</v>
      </c>
    </row>
    <row r="336" spans="1:1" x14ac:dyDescent="0.2">
      <c r="A336" s="83" t="s">
        <v>576</v>
      </c>
    </row>
    <row r="337" spans="1:1" x14ac:dyDescent="0.2">
      <c r="A337" s="83" t="s">
        <v>752</v>
      </c>
    </row>
    <row r="338" spans="1:1" x14ac:dyDescent="0.2">
      <c r="A338" s="83" t="s">
        <v>577</v>
      </c>
    </row>
    <row r="339" spans="1:1" x14ac:dyDescent="0.2">
      <c r="A339" s="83" t="s">
        <v>578</v>
      </c>
    </row>
    <row r="340" spans="1:1" x14ac:dyDescent="0.2">
      <c r="A340" s="83" t="s">
        <v>579</v>
      </c>
    </row>
    <row r="341" spans="1:1" x14ac:dyDescent="0.2">
      <c r="A341" s="83" t="s">
        <v>580</v>
      </c>
    </row>
    <row r="342" spans="1:1" x14ac:dyDescent="0.2">
      <c r="A342" s="83" t="s">
        <v>581</v>
      </c>
    </row>
    <row r="343" spans="1:1" x14ac:dyDescent="0.2">
      <c r="A343" s="83" t="s">
        <v>582</v>
      </c>
    </row>
    <row r="344" spans="1:1" x14ac:dyDescent="0.2">
      <c r="A344" s="83" t="s">
        <v>583</v>
      </c>
    </row>
    <row r="345" spans="1:1" x14ac:dyDescent="0.2">
      <c r="A345" s="83" t="s">
        <v>584</v>
      </c>
    </row>
    <row r="346" spans="1:1" x14ac:dyDescent="0.2">
      <c r="A346" s="83" t="s">
        <v>261</v>
      </c>
    </row>
    <row r="347" spans="1:1" x14ac:dyDescent="0.2">
      <c r="A347" s="83" t="s">
        <v>262</v>
      </c>
    </row>
    <row r="348" spans="1:1" x14ac:dyDescent="0.2">
      <c r="A348" s="83" t="s">
        <v>585</v>
      </c>
    </row>
    <row r="349" spans="1:1" x14ac:dyDescent="0.2">
      <c r="A349" s="83" t="s">
        <v>586</v>
      </c>
    </row>
    <row r="350" spans="1:1" x14ac:dyDescent="0.2">
      <c r="A350" s="83" t="s">
        <v>587</v>
      </c>
    </row>
    <row r="351" spans="1:1" x14ac:dyDescent="0.2">
      <c r="A351" s="83" t="s">
        <v>263</v>
      </c>
    </row>
    <row r="352" spans="1:1" x14ac:dyDescent="0.2">
      <c r="A352" s="83" t="s">
        <v>588</v>
      </c>
    </row>
    <row r="353" spans="1:1" x14ac:dyDescent="0.2">
      <c r="A353" s="83" t="s">
        <v>264</v>
      </c>
    </row>
    <row r="354" spans="1:1" x14ac:dyDescent="0.2">
      <c r="A354" s="83" t="s">
        <v>265</v>
      </c>
    </row>
    <row r="355" spans="1:1" x14ac:dyDescent="0.2">
      <c r="A355" s="83" t="s">
        <v>266</v>
      </c>
    </row>
    <row r="356" spans="1:1" x14ac:dyDescent="0.2">
      <c r="A356" s="83" t="s">
        <v>589</v>
      </c>
    </row>
    <row r="357" spans="1:1" x14ac:dyDescent="0.2">
      <c r="A357" s="83" t="s">
        <v>267</v>
      </c>
    </row>
    <row r="358" spans="1:1" x14ac:dyDescent="0.2">
      <c r="A358" s="83" t="s">
        <v>268</v>
      </c>
    </row>
    <row r="359" spans="1:1" x14ac:dyDescent="0.2">
      <c r="A359" s="83" t="s">
        <v>269</v>
      </c>
    </row>
    <row r="360" spans="1:1" x14ac:dyDescent="0.2">
      <c r="A360" s="83" t="s">
        <v>590</v>
      </c>
    </row>
    <row r="361" spans="1:1" x14ac:dyDescent="0.2">
      <c r="A361" s="83" t="s">
        <v>270</v>
      </c>
    </row>
    <row r="362" spans="1:1" x14ac:dyDescent="0.2">
      <c r="A362" s="83" t="s">
        <v>591</v>
      </c>
    </row>
    <row r="363" spans="1:1" x14ac:dyDescent="0.2">
      <c r="A363" s="83" t="s">
        <v>592</v>
      </c>
    </row>
    <row r="364" spans="1:1" x14ac:dyDescent="0.2">
      <c r="A364" s="83" t="s">
        <v>593</v>
      </c>
    </row>
    <row r="365" spans="1:1" x14ac:dyDescent="0.2">
      <c r="A365" s="83" t="s">
        <v>594</v>
      </c>
    </row>
    <row r="366" spans="1:1" x14ac:dyDescent="0.2">
      <c r="A366" s="83" t="s">
        <v>595</v>
      </c>
    </row>
    <row r="367" spans="1:1" x14ac:dyDescent="0.2">
      <c r="A367" s="83" t="s">
        <v>596</v>
      </c>
    </row>
    <row r="368" spans="1:1" x14ac:dyDescent="0.2">
      <c r="A368" s="83" t="s">
        <v>597</v>
      </c>
    </row>
    <row r="369" spans="1:1" x14ac:dyDescent="0.2">
      <c r="A369" s="83" t="s">
        <v>598</v>
      </c>
    </row>
    <row r="370" spans="1:1" x14ac:dyDescent="0.2">
      <c r="A370" s="83" t="s">
        <v>599</v>
      </c>
    </row>
    <row r="371" spans="1:1" x14ac:dyDescent="0.2">
      <c r="A371" s="83" t="s">
        <v>600</v>
      </c>
    </row>
    <row r="372" spans="1:1" x14ac:dyDescent="0.2">
      <c r="A372" s="83" t="s">
        <v>601</v>
      </c>
    </row>
    <row r="373" spans="1:1" x14ac:dyDescent="0.2">
      <c r="A373" s="83" t="s">
        <v>271</v>
      </c>
    </row>
    <row r="374" spans="1:1" x14ac:dyDescent="0.2">
      <c r="A374" s="83" t="s">
        <v>602</v>
      </c>
    </row>
    <row r="375" spans="1:1" x14ac:dyDescent="0.2">
      <c r="A375" s="83" t="s">
        <v>272</v>
      </c>
    </row>
    <row r="376" spans="1:1" x14ac:dyDescent="0.2">
      <c r="A376" s="83" t="s">
        <v>603</v>
      </c>
    </row>
    <row r="377" spans="1:1" x14ac:dyDescent="0.2">
      <c r="A377" s="83" t="s">
        <v>273</v>
      </c>
    </row>
    <row r="378" spans="1:1" x14ac:dyDescent="0.2">
      <c r="A378" s="83" t="s">
        <v>274</v>
      </c>
    </row>
    <row r="379" spans="1:1" x14ac:dyDescent="0.2">
      <c r="A379" s="83" t="s">
        <v>275</v>
      </c>
    </row>
    <row r="380" spans="1:1" x14ac:dyDescent="0.2">
      <c r="A380" s="83" t="s">
        <v>276</v>
      </c>
    </row>
    <row r="381" spans="1:1" x14ac:dyDescent="0.2">
      <c r="A381" s="83" t="s">
        <v>604</v>
      </c>
    </row>
    <row r="382" spans="1:1" x14ac:dyDescent="0.2">
      <c r="A382" s="83" t="s">
        <v>605</v>
      </c>
    </row>
    <row r="383" spans="1:1" x14ac:dyDescent="0.2">
      <c r="A383" s="83" t="s">
        <v>606</v>
      </c>
    </row>
    <row r="384" spans="1:1" x14ac:dyDescent="0.2">
      <c r="A384" s="83" t="s">
        <v>277</v>
      </c>
    </row>
    <row r="385" spans="1:1" x14ac:dyDescent="0.2">
      <c r="A385" s="83" t="s">
        <v>607</v>
      </c>
    </row>
    <row r="386" spans="1:1" x14ac:dyDescent="0.2">
      <c r="A386" s="83" t="s">
        <v>608</v>
      </c>
    </row>
    <row r="387" spans="1:1" x14ac:dyDescent="0.2">
      <c r="A387" s="83" t="s">
        <v>609</v>
      </c>
    </row>
    <row r="388" spans="1:1" x14ac:dyDescent="0.2">
      <c r="A388" s="83" t="s">
        <v>610</v>
      </c>
    </row>
    <row r="389" spans="1:1" x14ac:dyDescent="0.2">
      <c r="A389" s="83" t="s">
        <v>611</v>
      </c>
    </row>
    <row r="390" spans="1:1" x14ac:dyDescent="0.2">
      <c r="A390" s="83" t="s">
        <v>612</v>
      </c>
    </row>
    <row r="391" spans="1:1" x14ac:dyDescent="0.2">
      <c r="A391" s="83" t="s">
        <v>613</v>
      </c>
    </row>
    <row r="392" spans="1:1" x14ac:dyDescent="0.2">
      <c r="A392" s="83" t="s">
        <v>614</v>
      </c>
    </row>
    <row r="393" spans="1:1" x14ac:dyDescent="0.2">
      <c r="A393" s="83" t="s">
        <v>278</v>
      </c>
    </row>
    <row r="394" spans="1:1" x14ac:dyDescent="0.2">
      <c r="A394" s="83" t="s">
        <v>279</v>
      </c>
    </row>
    <row r="395" spans="1:1" x14ac:dyDescent="0.2">
      <c r="A395" s="83" t="s">
        <v>615</v>
      </c>
    </row>
    <row r="396" spans="1:1" x14ac:dyDescent="0.2">
      <c r="A396" s="83" t="s">
        <v>616</v>
      </c>
    </row>
    <row r="397" spans="1:1" x14ac:dyDescent="0.2">
      <c r="A397" s="83" t="s">
        <v>280</v>
      </c>
    </row>
    <row r="398" spans="1:1" x14ac:dyDescent="0.2">
      <c r="A398" s="83" t="s">
        <v>617</v>
      </c>
    </row>
    <row r="399" spans="1:1" x14ac:dyDescent="0.2">
      <c r="A399" s="83" t="s">
        <v>281</v>
      </c>
    </row>
    <row r="400" spans="1:1" x14ac:dyDescent="0.2">
      <c r="A400" s="83" t="s">
        <v>618</v>
      </c>
    </row>
    <row r="401" spans="1:1" x14ac:dyDescent="0.2">
      <c r="A401" s="83" t="s">
        <v>619</v>
      </c>
    </row>
    <row r="402" spans="1:1" x14ac:dyDescent="0.2">
      <c r="A402" s="83" t="s">
        <v>620</v>
      </c>
    </row>
    <row r="403" spans="1:1" x14ac:dyDescent="0.2">
      <c r="A403" s="83" t="s">
        <v>282</v>
      </c>
    </row>
    <row r="404" spans="1:1" x14ac:dyDescent="0.2">
      <c r="A404" s="83" t="s">
        <v>621</v>
      </c>
    </row>
    <row r="405" spans="1:1" x14ac:dyDescent="0.2">
      <c r="A405" s="83" t="s">
        <v>622</v>
      </c>
    </row>
    <row r="406" spans="1:1" x14ac:dyDescent="0.2">
      <c r="A406" s="83" t="s">
        <v>283</v>
      </c>
    </row>
    <row r="407" spans="1:1" x14ac:dyDescent="0.2">
      <c r="A407" s="83" t="s">
        <v>284</v>
      </c>
    </row>
    <row r="408" spans="1:1" x14ac:dyDescent="0.2">
      <c r="A408" s="83" t="s">
        <v>623</v>
      </c>
    </row>
    <row r="409" spans="1:1" x14ac:dyDescent="0.2">
      <c r="A409" s="83" t="s">
        <v>285</v>
      </c>
    </row>
    <row r="410" spans="1:1" x14ac:dyDescent="0.2">
      <c r="A410" s="83" t="s">
        <v>286</v>
      </c>
    </row>
    <row r="411" spans="1:1" x14ac:dyDescent="0.2">
      <c r="A411" s="83" t="s">
        <v>624</v>
      </c>
    </row>
    <row r="412" spans="1:1" x14ac:dyDescent="0.2">
      <c r="A412" s="83" t="s">
        <v>287</v>
      </c>
    </row>
    <row r="413" spans="1:1" x14ac:dyDescent="0.2">
      <c r="A413" s="83" t="s">
        <v>625</v>
      </c>
    </row>
    <row r="414" spans="1:1" x14ac:dyDescent="0.2">
      <c r="A414" s="83" t="s">
        <v>288</v>
      </c>
    </row>
    <row r="415" spans="1:1" x14ac:dyDescent="0.2">
      <c r="A415" s="83" t="s">
        <v>626</v>
      </c>
    </row>
    <row r="416" spans="1:1" x14ac:dyDescent="0.2">
      <c r="A416" s="83" t="s">
        <v>627</v>
      </c>
    </row>
    <row r="417" spans="1:1" x14ac:dyDescent="0.2">
      <c r="A417" s="83" t="s">
        <v>628</v>
      </c>
    </row>
    <row r="418" spans="1:1" x14ac:dyDescent="0.2">
      <c r="A418" s="83" t="s">
        <v>629</v>
      </c>
    </row>
    <row r="419" spans="1:1" x14ac:dyDescent="0.2">
      <c r="A419" s="83" t="s">
        <v>630</v>
      </c>
    </row>
    <row r="420" spans="1:1" x14ac:dyDescent="0.2">
      <c r="A420" s="83" t="s">
        <v>631</v>
      </c>
    </row>
    <row r="421" spans="1:1" x14ac:dyDescent="0.2">
      <c r="A421" s="83" t="s">
        <v>632</v>
      </c>
    </row>
    <row r="422" spans="1:1" x14ac:dyDescent="0.2">
      <c r="A422" s="83" t="s">
        <v>289</v>
      </c>
    </row>
    <row r="423" spans="1:1" x14ac:dyDescent="0.2">
      <c r="A423" s="83" t="s">
        <v>633</v>
      </c>
    </row>
    <row r="424" spans="1:1" x14ac:dyDescent="0.2">
      <c r="A424" s="83" t="s">
        <v>634</v>
      </c>
    </row>
    <row r="425" spans="1:1" x14ac:dyDescent="0.2">
      <c r="A425" s="83" t="s">
        <v>635</v>
      </c>
    </row>
    <row r="426" spans="1:1" x14ac:dyDescent="0.2">
      <c r="A426" s="83" t="s">
        <v>636</v>
      </c>
    </row>
    <row r="427" spans="1:1" x14ac:dyDescent="0.2">
      <c r="A427" s="83" t="s">
        <v>290</v>
      </c>
    </row>
    <row r="428" spans="1:1" x14ac:dyDescent="0.2">
      <c r="A428" s="83" t="s">
        <v>637</v>
      </c>
    </row>
    <row r="429" spans="1:1" x14ac:dyDescent="0.2">
      <c r="A429" s="83" t="s">
        <v>291</v>
      </c>
    </row>
    <row r="430" spans="1:1" x14ac:dyDescent="0.2">
      <c r="A430" s="83" t="s">
        <v>638</v>
      </c>
    </row>
    <row r="431" spans="1:1" x14ac:dyDescent="0.2">
      <c r="A431" s="83" t="s">
        <v>639</v>
      </c>
    </row>
    <row r="432" spans="1:1" x14ac:dyDescent="0.2">
      <c r="A432" s="83" t="s">
        <v>640</v>
      </c>
    </row>
    <row r="433" spans="1:1" x14ac:dyDescent="0.2">
      <c r="A433" s="83" t="s">
        <v>641</v>
      </c>
    </row>
    <row r="434" spans="1:1" x14ac:dyDescent="0.2">
      <c r="A434" s="83" t="s">
        <v>642</v>
      </c>
    </row>
    <row r="435" spans="1:1" x14ac:dyDescent="0.2">
      <c r="A435" s="83" t="s">
        <v>643</v>
      </c>
    </row>
    <row r="436" spans="1:1" x14ac:dyDescent="0.2">
      <c r="A436" s="83" t="s">
        <v>644</v>
      </c>
    </row>
    <row r="437" spans="1:1" x14ac:dyDescent="0.2">
      <c r="A437" s="83" t="s">
        <v>645</v>
      </c>
    </row>
    <row r="438" spans="1:1" x14ac:dyDescent="0.2">
      <c r="A438" s="83" t="s">
        <v>292</v>
      </c>
    </row>
    <row r="439" spans="1:1" x14ac:dyDescent="0.2">
      <c r="A439" s="83" t="s">
        <v>646</v>
      </c>
    </row>
    <row r="440" spans="1:1" x14ac:dyDescent="0.2">
      <c r="A440" s="83" t="s">
        <v>647</v>
      </c>
    </row>
    <row r="441" spans="1:1" x14ac:dyDescent="0.2">
      <c r="A441" s="83" t="s">
        <v>648</v>
      </c>
    </row>
    <row r="442" spans="1:1" x14ac:dyDescent="0.2">
      <c r="A442" s="83" t="s">
        <v>649</v>
      </c>
    </row>
    <row r="443" spans="1:1" x14ac:dyDescent="0.2">
      <c r="A443" s="83" t="s">
        <v>650</v>
      </c>
    </row>
    <row r="444" spans="1:1" x14ac:dyDescent="0.2">
      <c r="A444" s="83" t="s">
        <v>651</v>
      </c>
    </row>
    <row r="445" spans="1:1" x14ac:dyDescent="0.2">
      <c r="A445" s="83" t="s">
        <v>293</v>
      </c>
    </row>
    <row r="446" spans="1:1" x14ac:dyDescent="0.2">
      <c r="A446" s="83" t="s">
        <v>294</v>
      </c>
    </row>
    <row r="447" spans="1:1" x14ac:dyDescent="0.2">
      <c r="A447" s="83" t="s">
        <v>295</v>
      </c>
    </row>
    <row r="448" spans="1:1" x14ac:dyDescent="0.2">
      <c r="A448" s="83" t="s">
        <v>296</v>
      </c>
    </row>
    <row r="449" spans="1:1" x14ac:dyDescent="0.2">
      <c r="A449" s="83" t="s">
        <v>297</v>
      </c>
    </row>
    <row r="450" spans="1:1" x14ac:dyDescent="0.2">
      <c r="A450" s="83" t="s">
        <v>652</v>
      </c>
    </row>
    <row r="451" spans="1:1" x14ac:dyDescent="0.2">
      <c r="A451" s="83" t="s">
        <v>653</v>
      </c>
    </row>
    <row r="452" spans="1:1" x14ac:dyDescent="0.2">
      <c r="A452" s="83" t="s">
        <v>654</v>
      </c>
    </row>
    <row r="453" spans="1:1" x14ac:dyDescent="0.2">
      <c r="A453" s="83" t="s">
        <v>655</v>
      </c>
    </row>
    <row r="454" spans="1:1" x14ac:dyDescent="0.2">
      <c r="A454" s="83" t="s">
        <v>656</v>
      </c>
    </row>
    <row r="455" spans="1:1" x14ac:dyDescent="0.2">
      <c r="A455" s="83" t="s">
        <v>657</v>
      </c>
    </row>
    <row r="456" spans="1:1" x14ac:dyDescent="0.2">
      <c r="A456" s="83" t="s">
        <v>658</v>
      </c>
    </row>
    <row r="457" spans="1:1" x14ac:dyDescent="0.2">
      <c r="A457" s="83" t="s">
        <v>298</v>
      </c>
    </row>
    <row r="458" spans="1:1" x14ac:dyDescent="0.2">
      <c r="A458" s="83" t="s">
        <v>659</v>
      </c>
    </row>
    <row r="459" spans="1:1" x14ac:dyDescent="0.2">
      <c r="A459" s="83" t="s">
        <v>299</v>
      </c>
    </row>
    <row r="460" spans="1:1" x14ac:dyDescent="0.2">
      <c r="A460" s="83" t="s">
        <v>660</v>
      </c>
    </row>
    <row r="461" spans="1:1" x14ac:dyDescent="0.2">
      <c r="A461" s="83" t="s">
        <v>300</v>
      </c>
    </row>
    <row r="462" spans="1:1" x14ac:dyDescent="0.2">
      <c r="A462" s="83" t="s">
        <v>301</v>
      </c>
    </row>
    <row r="463" spans="1:1" x14ac:dyDescent="0.2">
      <c r="A463" s="83" t="s">
        <v>661</v>
      </c>
    </row>
    <row r="464" spans="1:1" x14ac:dyDescent="0.2">
      <c r="A464" s="83" t="s">
        <v>411</v>
      </c>
    </row>
    <row r="465" spans="1:1" x14ac:dyDescent="0.2">
      <c r="A465" s="83" t="s">
        <v>662</v>
      </c>
    </row>
    <row r="466" spans="1:1" x14ac:dyDescent="0.2">
      <c r="A466" s="83" t="s">
        <v>663</v>
      </c>
    </row>
    <row r="467" spans="1:1" x14ac:dyDescent="0.2">
      <c r="A467" s="83" t="s">
        <v>664</v>
      </c>
    </row>
    <row r="468" spans="1:1" x14ac:dyDescent="0.2">
      <c r="A468" s="83" t="s">
        <v>302</v>
      </c>
    </row>
    <row r="469" spans="1:1" x14ac:dyDescent="0.2">
      <c r="A469" s="83" t="s">
        <v>665</v>
      </c>
    </row>
    <row r="470" spans="1:1" x14ac:dyDescent="0.2">
      <c r="A470" s="83" t="s">
        <v>303</v>
      </c>
    </row>
    <row r="471" spans="1:1" x14ac:dyDescent="0.2">
      <c r="A471" s="83" t="s">
        <v>666</v>
      </c>
    </row>
    <row r="472" spans="1:1" x14ac:dyDescent="0.2">
      <c r="A472" s="83" t="s">
        <v>304</v>
      </c>
    </row>
    <row r="473" spans="1:1" x14ac:dyDescent="0.2">
      <c r="A473" s="83" t="s">
        <v>305</v>
      </c>
    </row>
    <row r="474" spans="1:1" x14ac:dyDescent="0.2">
      <c r="A474" s="83" t="s">
        <v>667</v>
      </c>
    </row>
    <row r="475" spans="1:1" x14ac:dyDescent="0.2">
      <c r="A475" s="83" t="s">
        <v>306</v>
      </c>
    </row>
    <row r="476" spans="1:1" x14ac:dyDescent="0.2">
      <c r="A476" s="83" t="s">
        <v>307</v>
      </c>
    </row>
    <row r="477" spans="1:1" x14ac:dyDescent="0.2">
      <c r="A477" s="83" t="s">
        <v>668</v>
      </c>
    </row>
    <row r="478" spans="1:1" x14ac:dyDescent="0.2">
      <c r="A478" s="83" t="s">
        <v>308</v>
      </c>
    </row>
    <row r="479" spans="1:1" x14ac:dyDescent="0.2">
      <c r="A479" s="83" t="s">
        <v>669</v>
      </c>
    </row>
    <row r="480" spans="1:1" x14ac:dyDescent="0.2">
      <c r="A480" s="83" t="s">
        <v>309</v>
      </c>
    </row>
    <row r="481" spans="1:1" x14ac:dyDescent="0.2">
      <c r="A481" s="83" t="s">
        <v>670</v>
      </c>
    </row>
    <row r="482" spans="1:1" x14ac:dyDescent="0.2">
      <c r="A482" s="83" t="s">
        <v>671</v>
      </c>
    </row>
    <row r="483" spans="1:1" x14ac:dyDescent="0.2">
      <c r="A483" s="83" t="s">
        <v>310</v>
      </c>
    </row>
    <row r="484" spans="1:1" x14ac:dyDescent="0.2">
      <c r="A484" s="83" t="s">
        <v>311</v>
      </c>
    </row>
    <row r="485" spans="1:1" x14ac:dyDescent="0.2">
      <c r="A485" s="83" t="s">
        <v>312</v>
      </c>
    </row>
    <row r="486" spans="1:1" x14ac:dyDescent="0.2">
      <c r="A486" s="83" t="s">
        <v>313</v>
      </c>
    </row>
    <row r="487" spans="1:1" x14ac:dyDescent="0.2">
      <c r="A487" s="83" t="s">
        <v>672</v>
      </c>
    </row>
    <row r="488" spans="1:1" x14ac:dyDescent="0.2">
      <c r="A488" s="83" t="s">
        <v>673</v>
      </c>
    </row>
    <row r="489" spans="1:1" x14ac:dyDescent="0.2">
      <c r="A489" s="83" t="s">
        <v>674</v>
      </c>
    </row>
    <row r="490" spans="1:1" x14ac:dyDescent="0.2">
      <c r="A490" s="83" t="s">
        <v>314</v>
      </c>
    </row>
    <row r="491" spans="1:1" x14ac:dyDescent="0.2">
      <c r="A491" s="83" t="s">
        <v>675</v>
      </c>
    </row>
    <row r="492" spans="1:1" x14ac:dyDescent="0.2">
      <c r="A492" s="83" t="s">
        <v>676</v>
      </c>
    </row>
    <row r="493" spans="1:1" x14ac:dyDescent="0.2">
      <c r="A493" s="83" t="s">
        <v>677</v>
      </c>
    </row>
    <row r="494" spans="1:1" x14ac:dyDescent="0.2">
      <c r="A494" s="83" t="s">
        <v>315</v>
      </c>
    </row>
    <row r="495" spans="1:1" x14ac:dyDescent="0.2">
      <c r="A495" s="83" t="s">
        <v>762</v>
      </c>
    </row>
    <row r="496" spans="1:1" x14ac:dyDescent="0.2">
      <c r="A496" s="83" t="s">
        <v>316</v>
      </c>
    </row>
    <row r="497" spans="1:1" x14ac:dyDescent="0.2">
      <c r="A497" s="83" t="s">
        <v>317</v>
      </c>
    </row>
    <row r="498" spans="1:1" x14ac:dyDescent="0.2">
      <c r="A498" s="83" t="s">
        <v>318</v>
      </c>
    </row>
    <row r="499" spans="1:1" x14ac:dyDescent="0.2">
      <c r="A499" s="83" t="s">
        <v>319</v>
      </c>
    </row>
    <row r="500" spans="1:1" x14ac:dyDescent="0.2">
      <c r="A500" s="83" t="s">
        <v>320</v>
      </c>
    </row>
    <row r="501" spans="1:1" x14ac:dyDescent="0.2">
      <c r="A501" s="83" t="s">
        <v>678</v>
      </c>
    </row>
    <row r="502" spans="1:1" x14ac:dyDescent="0.2">
      <c r="A502" s="83" t="s">
        <v>321</v>
      </c>
    </row>
    <row r="503" spans="1:1" x14ac:dyDescent="0.2">
      <c r="A503" s="83" t="s">
        <v>679</v>
      </c>
    </row>
    <row r="504" spans="1:1" x14ac:dyDescent="0.2">
      <c r="A504" s="83" t="s">
        <v>680</v>
      </c>
    </row>
    <row r="505" spans="1:1" x14ac:dyDescent="0.2">
      <c r="A505" s="83" t="s">
        <v>681</v>
      </c>
    </row>
    <row r="506" spans="1:1" x14ac:dyDescent="0.2">
      <c r="A506" s="83" t="s">
        <v>682</v>
      </c>
    </row>
    <row r="507" spans="1:1" x14ac:dyDescent="0.2">
      <c r="A507" s="83" t="s">
        <v>322</v>
      </c>
    </row>
    <row r="508" spans="1:1" x14ac:dyDescent="0.2">
      <c r="A508" s="83" t="s">
        <v>323</v>
      </c>
    </row>
    <row r="509" spans="1:1" x14ac:dyDescent="0.2">
      <c r="A509" s="83" t="s">
        <v>324</v>
      </c>
    </row>
    <row r="510" spans="1:1" x14ac:dyDescent="0.2">
      <c r="A510" s="83" t="s">
        <v>436</v>
      </c>
    </row>
    <row r="511" spans="1:1" x14ac:dyDescent="0.2">
      <c r="A511" s="83" t="s">
        <v>325</v>
      </c>
    </row>
    <row r="512" spans="1:1" x14ac:dyDescent="0.2">
      <c r="A512" s="83" t="s">
        <v>326</v>
      </c>
    </row>
    <row r="513" spans="1:1" x14ac:dyDescent="0.2">
      <c r="A513" s="83" t="s">
        <v>683</v>
      </c>
    </row>
    <row r="514" spans="1:1" x14ac:dyDescent="0.2">
      <c r="A514" s="83" t="s">
        <v>684</v>
      </c>
    </row>
    <row r="515" spans="1:1" x14ac:dyDescent="0.2">
      <c r="A515" s="83" t="s">
        <v>685</v>
      </c>
    </row>
    <row r="516" spans="1:1" x14ac:dyDescent="0.2">
      <c r="A516" s="83" t="s">
        <v>327</v>
      </c>
    </row>
    <row r="517" spans="1:1" x14ac:dyDescent="0.2">
      <c r="A517" s="83" t="s">
        <v>328</v>
      </c>
    </row>
    <row r="518" spans="1:1" x14ac:dyDescent="0.2">
      <c r="A518" s="83" t="s">
        <v>686</v>
      </c>
    </row>
    <row r="519" spans="1:1" x14ac:dyDescent="0.2">
      <c r="A519" s="83" t="s">
        <v>687</v>
      </c>
    </row>
    <row r="520" spans="1:1" x14ac:dyDescent="0.2">
      <c r="A520" s="83" t="s">
        <v>688</v>
      </c>
    </row>
    <row r="521" spans="1:1" x14ac:dyDescent="0.2">
      <c r="A521" s="83" t="s">
        <v>329</v>
      </c>
    </row>
    <row r="522" spans="1:1" x14ac:dyDescent="0.2">
      <c r="A522" s="83" t="s">
        <v>330</v>
      </c>
    </row>
    <row r="523" spans="1:1" x14ac:dyDescent="0.2">
      <c r="A523" s="83" t="s">
        <v>689</v>
      </c>
    </row>
    <row r="524" spans="1:1" x14ac:dyDescent="0.2">
      <c r="A524" s="83" t="s">
        <v>690</v>
      </c>
    </row>
    <row r="525" spans="1:1" x14ac:dyDescent="0.2">
      <c r="A525" s="83" t="s">
        <v>691</v>
      </c>
    </row>
    <row r="526" spans="1:1" x14ac:dyDescent="0.2">
      <c r="A526" s="83" t="s">
        <v>692</v>
      </c>
    </row>
    <row r="527" spans="1:1" x14ac:dyDescent="0.2">
      <c r="A527" s="83" t="s">
        <v>331</v>
      </c>
    </row>
    <row r="528" spans="1:1" x14ac:dyDescent="0.2">
      <c r="A528" s="83" t="s">
        <v>332</v>
      </c>
    </row>
    <row r="529" spans="1:1" x14ac:dyDescent="0.2">
      <c r="A529" s="83" t="s">
        <v>333</v>
      </c>
    </row>
    <row r="530" spans="1:1" x14ac:dyDescent="0.2">
      <c r="A530" s="83" t="s">
        <v>334</v>
      </c>
    </row>
    <row r="531" spans="1:1" x14ac:dyDescent="0.2">
      <c r="A531" s="83" t="s">
        <v>693</v>
      </c>
    </row>
    <row r="532" spans="1:1" x14ac:dyDescent="0.2">
      <c r="A532" s="83" t="s">
        <v>694</v>
      </c>
    </row>
    <row r="533" spans="1:1" x14ac:dyDescent="0.2">
      <c r="A533" s="83" t="s">
        <v>695</v>
      </c>
    </row>
    <row r="534" spans="1:1" x14ac:dyDescent="0.2">
      <c r="A534" s="83" t="s">
        <v>335</v>
      </c>
    </row>
    <row r="535" spans="1:1" x14ac:dyDescent="0.2">
      <c r="A535" s="83" t="s">
        <v>696</v>
      </c>
    </row>
    <row r="536" spans="1:1" x14ac:dyDescent="0.2">
      <c r="A536" s="83" t="s">
        <v>697</v>
      </c>
    </row>
    <row r="537" spans="1:1" x14ac:dyDescent="0.2">
      <c r="A537" s="83" t="s">
        <v>698</v>
      </c>
    </row>
    <row r="538" spans="1:1" x14ac:dyDescent="0.2">
      <c r="A538" s="83" t="s">
        <v>336</v>
      </c>
    </row>
    <row r="539" spans="1:1" x14ac:dyDescent="0.2">
      <c r="A539" s="83" t="s">
        <v>699</v>
      </c>
    </row>
    <row r="540" spans="1:1" x14ac:dyDescent="0.2">
      <c r="A540" s="83" t="s">
        <v>700</v>
      </c>
    </row>
    <row r="541" spans="1:1" x14ac:dyDescent="0.2">
      <c r="A541" s="83" t="s">
        <v>337</v>
      </c>
    </row>
    <row r="542" spans="1:1" x14ac:dyDescent="0.2">
      <c r="A542" s="83" t="s">
        <v>338</v>
      </c>
    </row>
    <row r="543" spans="1:1" x14ac:dyDescent="0.2">
      <c r="A543" s="83" t="s">
        <v>701</v>
      </c>
    </row>
    <row r="544" spans="1:1" x14ac:dyDescent="0.2">
      <c r="A544" s="83" t="s">
        <v>339</v>
      </c>
    </row>
    <row r="545" spans="1:1" x14ac:dyDescent="0.2">
      <c r="A545" s="83" t="s">
        <v>340</v>
      </c>
    </row>
    <row r="546" spans="1:1" x14ac:dyDescent="0.2">
      <c r="A546" s="83" t="s">
        <v>341</v>
      </c>
    </row>
    <row r="547" spans="1:1" x14ac:dyDescent="0.2">
      <c r="A547" s="83" t="s">
        <v>342</v>
      </c>
    </row>
    <row r="548" spans="1:1" x14ac:dyDescent="0.2">
      <c r="A548" s="83" t="s">
        <v>343</v>
      </c>
    </row>
    <row r="549" spans="1:1" x14ac:dyDescent="0.2">
      <c r="A549" s="83" t="s">
        <v>344</v>
      </c>
    </row>
    <row r="550" spans="1:1" x14ac:dyDescent="0.2">
      <c r="A550" s="83" t="s">
        <v>345</v>
      </c>
    </row>
    <row r="551" spans="1:1" x14ac:dyDescent="0.2">
      <c r="A551" s="83" t="s">
        <v>346</v>
      </c>
    </row>
    <row r="552" spans="1:1" x14ac:dyDescent="0.2">
      <c r="A552" s="83" t="s">
        <v>347</v>
      </c>
    </row>
    <row r="553" spans="1:1" x14ac:dyDescent="0.2">
      <c r="A553" s="83" t="s">
        <v>702</v>
      </c>
    </row>
    <row r="554" spans="1:1" x14ac:dyDescent="0.2">
      <c r="A554" s="83" t="s">
        <v>348</v>
      </c>
    </row>
    <row r="555" spans="1:1" x14ac:dyDescent="0.2">
      <c r="A555" s="83" t="s">
        <v>703</v>
      </c>
    </row>
    <row r="556" spans="1:1" x14ac:dyDescent="0.2">
      <c r="A556" s="83" t="s">
        <v>349</v>
      </c>
    </row>
    <row r="557" spans="1:1" x14ac:dyDescent="0.2">
      <c r="A557" s="83" t="s">
        <v>350</v>
      </c>
    </row>
    <row r="558" spans="1:1" x14ac:dyDescent="0.2">
      <c r="A558" s="83" t="s">
        <v>704</v>
      </c>
    </row>
    <row r="559" spans="1:1" x14ac:dyDescent="0.2">
      <c r="A559" s="83" t="s">
        <v>705</v>
      </c>
    </row>
    <row r="560" spans="1:1" x14ac:dyDescent="0.2">
      <c r="A560" s="83" t="s">
        <v>718</v>
      </c>
    </row>
    <row r="561" spans="1:1" x14ac:dyDescent="0.2">
      <c r="A561" s="83" t="s">
        <v>351</v>
      </c>
    </row>
    <row r="562" spans="1:1" x14ac:dyDescent="0.2">
      <c r="A562" s="83" t="s">
        <v>707</v>
      </c>
    </row>
    <row r="563" spans="1:1" x14ac:dyDescent="0.2">
      <c r="A563" s="83" t="s">
        <v>708</v>
      </c>
    </row>
    <row r="564" spans="1:1" x14ac:dyDescent="0.2">
      <c r="A564" s="83" t="s">
        <v>709</v>
      </c>
    </row>
    <row r="565" spans="1:1" x14ac:dyDescent="0.2">
      <c r="A565" s="83" t="s">
        <v>710</v>
      </c>
    </row>
    <row r="566" spans="1:1" x14ac:dyDescent="0.2">
      <c r="A566" s="83" t="s">
        <v>711</v>
      </c>
    </row>
    <row r="567" spans="1:1" x14ac:dyDescent="0.2">
      <c r="A567" s="83" t="s">
        <v>352</v>
      </c>
    </row>
    <row r="568" spans="1:1" x14ac:dyDescent="0.2">
      <c r="A568" s="83" t="s">
        <v>712</v>
      </c>
    </row>
    <row r="569" spans="1:1" x14ac:dyDescent="0.2">
      <c r="A569" s="83" t="s">
        <v>713</v>
      </c>
    </row>
    <row r="570" spans="1:1" x14ac:dyDescent="0.2">
      <c r="A570" s="83" t="s">
        <v>714</v>
      </c>
    </row>
    <row r="571" spans="1:1" x14ac:dyDescent="0.2">
      <c r="A571" s="83" t="s">
        <v>715</v>
      </c>
    </row>
    <row r="572" spans="1:1" x14ac:dyDescent="0.2">
      <c r="A572" s="83" t="s">
        <v>353</v>
      </c>
    </row>
    <row r="573" spans="1:1" x14ac:dyDescent="0.2">
      <c r="A573" s="83" t="s">
        <v>716</v>
      </c>
    </row>
    <row r="574" spans="1:1" x14ac:dyDescent="0.2">
      <c r="A574" s="83" t="s">
        <v>717</v>
      </c>
    </row>
    <row r="575" spans="1:1" x14ac:dyDescent="0.2">
      <c r="A575" s="83" t="s">
        <v>719</v>
      </c>
    </row>
    <row r="576" spans="1:1" x14ac:dyDescent="0.2">
      <c r="A576" s="83" t="s">
        <v>720</v>
      </c>
    </row>
    <row r="577" spans="1:1" x14ac:dyDescent="0.2">
      <c r="A577" s="83" t="s">
        <v>354</v>
      </c>
    </row>
    <row r="578" spans="1:1" x14ac:dyDescent="0.2">
      <c r="A578" s="83" t="s">
        <v>355</v>
      </c>
    </row>
    <row r="579" spans="1:1" x14ac:dyDescent="0.2">
      <c r="A579" s="83" t="s">
        <v>721</v>
      </c>
    </row>
    <row r="580" spans="1:1" x14ac:dyDescent="0.2">
      <c r="A580" s="83" t="s">
        <v>767</v>
      </c>
    </row>
    <row r="581" spans="1:1" x14ac:dyDescent="0.2">
      <c r="A581" s="83" t="s">
        <v>356</v>
      </c>
    </row>
    <row r="582" spans="1:1" x14ac:dyDescent="0.2">
      <c r="A582" s="83" t="s">
        <v>722</v>
      </c>
    </row>
    <row r="583" spans="1:1" x14ac:dyDescent="0.2">
      <c r="A583" s="83" t="s">
        <v>357</v>
      </c>
    </row>
    <row r="584" spans="1:1" x14ac:dyDescent="0.2">
      <c r="A584" s="83" t="s">
        <v>723</v>
      </c>
    </row>
    <row r="585" spans="1:1" x14ac:dyDescent="0.2">
      <c r="A585" s="83" t="s">
        <v>724</v>
      </c>
    </row>
    <row r="586" spans="1:1" x14ac:dyDescent="0.2">
      <c r="A586" s="83" t="s">
        <v>358</v>
      </c>
    </row>
    <row r="587" spans="1:1" x14ac:dyDescent="0.2">
      <c r="A587" s="83" t="s">
        <v>359</v>
      </c>
    </row>
    <row r="588" spans="1:1" x14ac:dyDescent="0.2">
      <c r="A588" s="83" t="s">
        <v>360</v>
      </c>
    </row>
    <row r="589" spans="1:1" x14ac:dyDescent="0.2">
      <c r="A589" s="83" t="s">
        <v>465</v>
      </c>
    </row>
    <row r="590" spans="1:1" x14ac:dyDescent="0.2">
      <c r="A590" s="83" t="s">
        <v>726</v>
      </c>
    </row>
    <row r="591" spans="1:1" x14ac:dyDescent="0.2">
      <c r="A591" s="83" t="s">
        <v>727</v>
      </c>
    </row>
    <row r="592" spans="1:1" x14ac:dyDescent="0.2">
      <c r="A592" s="83" t="s">
        <v>361</v>
      </c>
    </row>
    <row r="593" spans="1:1" x14ac:dyDescent="0.2">
      <c r="A593" s="83" t="s">
        <v>362</v>
      </c>
    </row>
    <row r="594" spans="1:1" x14ac:dyDescent="0.2">
      <c r="A594" s="83" t="s">
        <v>728</v>
      </c>
    </row>
    <row r="595" spans="1:1" x14ac:dyDescent="0.2">
      <c r="A595" s="83" t="s">
        <v>729</v>
      </c>
    </row>
    <row r="596" spans="1:1" x14ac:dyDescent="0.2">
      <c r="A596" s="83" t="s">
        <v>730</v>
      </c>
    </row>
    <row r="597" spans="1:1" x14ac:dyDescent="0.2">
      <c r="A597" s="83" t="s">
        <v>731</v>
      </c>
    </row>
    <row r="598" spans="1:1" x14ac:dyDescent="0.2">
      <c r="A598" s="83" t="s">
        <v>732</v>
      </c>
    </row>
    <row r="599" spans="1:1" x14ac:dyDescent="0.2">
      <c r="A599" s="83" t="s">
        <v>733</v>
      </c>
    </row>
    <row r="600" spans="1:1" x14ac:dyDescent="0.2">
      <c r="A600" s="83" t="s">
        <v>363</v>
      </c>
    </row>
    <row r="601" spans="1:1" x14ac:dyDescent="0.2">
      <c r="A601" s="83" t="s">
        <v>364</v>
      </c>
    </row>
    <row r="602" spans="1:1" x14ac:dyDescent="0.2">
      <c r="A602" s="83" t="s">
        <v>365</v>
      </c>
    </row>
    <row r="603" spans="1:1" x14ac:dyDescent="0.2">
      <c r="A603" s="83" t="s">
        <v>734</v>
      </c>
    </row>
    <row r="604" spans="1:1" x14ac:dyDescent="0.2">
      <c r="A604" s="83" t="s">
        <v>735</v>
      </c>
    </row>
    <row r="605" spans="1:1" x14ac:dyDescent="0.2">
      <c r="A605" s="83" t="s">
        <v>736</v>
      </c>
    </row>
    <row r="606" spans="1:1" x14ac:dyDescent="0.2">
      <c r="A606" s="83" t="s">
        <v>449</v>
      </c>
    </row>
    <row r="607" spans="1:1" x14ac:dyDescent="0.2">
      <c r="A607" s="83" t="s">
        <v>437</v>
      </c>
    </row>
    <row r="608" spans="1:1" x14ac:dyDescent="0.2">
      <c r="A608" s="83" t="s">
        <v>737</v>
      </c>
    </row>
    <row r="609" spans="1:1" x14ac:dyDescent="0.2">
      <c r="A609" s="83" t="s">
        <v>438</v>
      </c>
    </row>
    <row r="610" spans="1:1" x14ac:dyDescent="0.2">
      <c r="A610" s="83" t="s">
        <v>366</v>
      </c>
    </row>
    <row r="611" spans="1:1" x14ac:dyDescent="0.2">
      <c r="A611" s="83" t="s">
        <v>464</v>
      </c>
    </row>
    <row r="612" spans="1:1" x14ac:dyDescent="0.2">
      <c r="A612" s="83" t="s">
        <v>439</v>
      </c>
    </row>
    <row r="613" spans="1:1" x14ac:dyDescent="0.2">
      <c r="A613" s="83" t="s">
        <v>440</v>
      </c>
    </row>
    <row r="614" spans="1:1" x14ac:dyDescent="0.2">
      <c r="A614" s="83" t="s">
        <v>461</v>
      </c>
    </row>
    <row r="615" spans="1:1" x14ac:dyDescent="0.2">
      <c r="A615" s="83" t="s">
        <v>484</v>
      </c>
    </row>
    <row r="616" spans="1:1" x14ac:dyDescent="0.2">
      <c r="A616" s="83" t="s">
        <v>485</v>
      </c>
    </row>
    <row r="617" spans="1:1" x14ac:dyDescent="0.2">
      <c r="A617" s="83" t="s">
        <v>515</v>
      </c>
    </row>
    <row r="618" spans="1:1" x14ac:dyDescent="0.2">
      <c r="A618" s="83" t="s">
        <v>738</v>
      </c>
    </row>
    <row r="619" spans="1:1" x14ac:dyDescent="0.2">
      <c r="A619" s="83" t="s">
        <v>367</v>
      </c>
    </row>
    <row r="620" spans="1:1" x14ac:dyDescent="0.2">
      <c r="A620" s="83" t="s">
        <v>368</v>
      </c>
    </row>
    <row r="621" spans="1:1" x14ac:dyDescent="0.2">
      <c r="A621" s="83" t="s">
        <v>369</v>
      </c>
    </row>
    <row r="622" spans="1:1" x14ac:dyDescent="0.2">
      <c r="A622" s="83" t="s">
        <v>370</v>
      </c>
    </row>
    <row r="623" spans="1:1" x14ac:dyDescent="0.2">
      <c r="A623" s="83" t="s">
        <v>371</v>
      </c>
    </row>
    <row r="624" spans="1:1" x14ac:dyDescent="0.2">
      <c r="A624" s="83" t="s">
        <v>372</v>
      </c>
    </row>
    <row r="625" spans="1:1" x14ac:dyDescent="0.2">
      <c r="A625" s="83" t="s">
        <v>740</v>
      </c>
    </row>
    <row r="626" spans="1:1" x14ac:dyDescent="0.2">
      <c r="A626" s="83" t="s">
        <v>741</v>
      </c>
    </row>
    <row r="627" spans="1:1" x14ac:dyDescent="0.2">
      <c r="A627" s="83" t="s">
        <v>373</v>
      </c>
    </row>
    <row r="628" spans="1:1" x14ac:dyDescent="0.2">
      <c r="A628" s="83" t="s">
        <v>473</v>
      </c>
    </row>
    <row r="629" spans="1:1" x14ac:dyDescent="0.2">
      <c r="A629" s="83" t="s">
        <v>742</v>
      </c>
    </row>
    <row r="630" spans="1:1" x14ac:dyDescent="0.2">
      <c r="A630" s="83" t="s">
        <v>743</v>
      </c>
    </row>
    <row r="631" spans="1:1" x14ac:dyDescent="0.2">
      <c r="A631" s="83" t="s">
        <v>744</v>
      </c>
    </row>
    <row r="632" spans="1:1" x14ac:dyDescent="0.2">
      <c r="A632" s="83" t="s">
        <v>374</v>
      </c>
    </row>
    <row r="633" spans="1:1" x14ac:dyDescent="0.2">
      <c r="A633" s="83" t="s">
        <v>375</v>
      </c>
    </row>
    <row r="634" spans="1:1" x14ac:dyDescent="0.2">
      <c r="A634" s="83" t="s">
        <v>745</v>
      </c>
    </row>
    <row r="635" spans="1:1" x14ac:dyDescent="0.2">
      <c r="A635" s="83" t="s">
        <v>746</v>
      </c>
    </row>
    <row r="636" spans="1:1" x14ac:dyDescent="0.2">
      <c r="A636" s="83" t="s">
        <v>376</v>
      </c>
    </row>
    <row r="637" spans="1:1" x14ac:dyDescent="0.2">
      <c r="A637" s="83" t="s">
        <v>747</v>
      </c>
    </row>
    <row r="638" spans="1:1" x14ac:dyDescent="0.2">
      <c r="A638" s="83" t="s">
        <v>748</v>
      </c>
    </row>
    <row r="639" spans="1:1" x14ac:dyDescent="0.2">
      <c r="A639" s="83" t="s">
        <v>749</v>
      </c>
    </row>
    <row r="640" spans="1:1" x14ac:dyDescent="0.2">
      <c r="A640" s="83" t="s">
        <v>750</v>
      </c>
    </row>
    <row r="641" spans="1:1" x14ac:dyDescent="0.2">
      <c r="A641" s="83" t="s">
        <v>377</v>
      </c>
    </row>
    <row r="642" spans="1:1" x14ac:dyDescent="0.2">
      <c r="A642" s="83" t="s">
        <v>378</v>
      </c>
    </row>
    <row r="643" spans="1:1" x14ac:dyDescent="0.2">
      <c r="A643" s="83" t="s">
        <v>379</v>
      </c>
    </row>
    <row r="644" spans="1:1" x14ac:dyDescent="0.2">
      <c r="A644" s="83" t="s">
        <v>751</v>
      </c>
    </row>
    <row r="645" spans="1:1" x14ac:dyDescent="0.2">
      <c r="A645" s="83" t="s">
        <v>380</v>
      </c>
    </row>
    <row r="646" spans="1:1" x14ac:dyDescent="0.2">
      <c r="A646" s="83" t="s">
        <v>381</v>
      </c>
    </row>
    <row r="647" spans="1:1" x14ac:dyDescent="0.2">
      <c r="A647" s="83" t="s">
        <v>382</v>
      </c>
    </row>
    <row r="648" spans="1:1" x14ac:dyDescent="0.2">
      <c r="A648" s="83" t="s">
        <v>725</v>
      </c>
    </row>
    <row r="649" spans="1:1" x14ac:dyDescent="0.2">
      <c r="A649" s="83" t="s">
        <v>383</v>
      </c>
    </row>
    <row r="650" spans="1:1" x14ac:dyDescent="0.2">
      <c r="A650" s="83" t="s">
        <v>384</v>
      </c>
    </row>
    <row r="651" spans="1:1" x14ac:dyDescent="0.2">
      <c r="A651" s="83" t="s">
        <v>385</v>
      </c>
    </row>
    <row r="652" spans="1:1" x14ac:dyDescent="0.2">
      <c r="A652" s="83" t="s">
        <v>756</v>
      </c>
    </row>
    <row r="653" spans="1:1" x14ac:dyDescent="0.2">
      <c r="A653" s="83" t="s">
        <v>386</v>
      </c>
    </row>
    <row r="654" spans="1:1" x14ac:dyDescent="0.2">
      <c r="A654" s="83" t="s">
        <v>387</v>
      </c>
    </row>
    <row r="655" spans="1:1" x14ac:dyDescent="0.2">
      <c r="A655" s="83" t="s">
        <v>388</v>
      </c>
    </row>
    <row r="656" spans="1:1" x14ac:dyDescent="0.2">
      <c r="A656" s="83" t="s">
        <v>389</v>
      </c>
    </row>
    <row r="657" spans="1:1" x14ac:dyDescent="0.2">
      <c r="A657" s="83" t="s">
        <v>390</v>
      </c>
    </row>
    <row r="658" spans="1:1" x14ac:dyDescent="0.2">
      <c r="A658" s="83" t="s">
        <v>757</v>
      </c>
    </row>
    <row r="659" spans="1:1" x14ac:dyDescent="0.2">
      <c r="A659" s="83" t="s">
        <v>391</v>
      </c>
    </row>
    <row r="660" spans="1:1" x14ac:dyDescent="0.2">
      <c r="A660" s="83" t="s">
        <v>392</v>
      </c>
    </row>
    <row r="661" spans="1:1" x14ac:dyDescent="0.2">
      <c r="A661" s="83" t="s">
        <v>466</v>
      </c>
    </row>
    <row r="662" spans="1:1" x14ac:dyDescent="0.2">
      <c r="A662" s="83" t="s">
        <v>393</v>
      </c>
    </row>
    <row r="663" spans="1:1" x14ac:dyDescent="0.2">
      <c r="A663" s="83" t="s">
        <v>394</v>
      </c>
    </row>
    <row r="664" spans="1:1" x14ac:dyDescent="0.2">
      <c r="A664" s="83" t="s">
        <v>758</v>
      </c>
    </row>
    <row r="665" spans="1:1" x14ac:dyDescent="0.2">
      <c r="A665" s="83" t="s">
        <v>395</v>
      </c>
    </row>
    <row r="666" spans="1:1" x14ac:dyDescent="0.2">
      <c r="A666" s="83" t="s">
        <v>396</v>
      </c>
    </row>
    <row r="667" spans="1:1" x14ac:dyDescent="0.2">
      <c r="A667" s="83" t="s">
        <v>753</v>
      </c>
    </row>
    <row r="668" spans="1:1" x14ac:dyDescent="0.2">
      <c r="A668" s="83" t="s">
        <v>397</v>
      </c>
    </row>
    <row r="669" spans="1:1" x14ac:dyDescent="0.2">
      <c r="A669" s="83" t="s">
        <v>759</v>
      </c>
    </row>
    <row r="670" spans="1:1" x14ac:dyDescent="0.2">
      <c r="A670" s="83" t="s">
        <v>398</v>
      </c>
    </row>
    <row r="671" spans="1:1" x14ac:dyDescent="0.2">
      <c r="A671" s="83" t="s">
        <v>511</v>
      </c>
    </row>
    <row r="672" spans="1:1" x14ac:dyDescent="0.2">
      <c r="A672" s="83" t="s">
        <v>137</v>
      </c>
    </row>
    <row r="673" spans="1:1" x14ac:dyDescent="0.2">
      <c r="A673" s="83"/>
    </row>
    <row r="674" spans="1:1" x14ac:dyDescent="0.2">
      <c r="A674" s="83"/>
    </row>
    <row r="675" spans="1:1" x14ac:dyDescent="0.2">
      <c r="A675" s="83"/>
    </row>
    <row r="676" spans="1:1" x14ac:dyDescent="0.2">
      <c r="A676" s="83"/>
    </row>
    <row r="677" spans="1:1" x14ac:dyDescent="0.2">
      <c r="A677" s="83"/>
    </row>
    <row r="678" spans="1:1" x14ac:dyDescent="0.2">
      <c r="A678" s="83"/>
    </row>
    <row r="679" spans="1:1" x14ac:dyDescent="0.2">
      <c r="A679" s="83"/>
    </row>
    <row r="680" spans="1:1" x14ac:dyDescent="0.2">
      <c r="A680" s="83"/>
    </row>
    <row r="681" spans="1:1" x14ac:dyDescent="0.2">
      <c r="A681" s="83"/>
    </row>
    <row r="682" spans="1:1" x14ac:dyDescent="0.2">
      <c r="A682" s="83"/>
    </row>
    <row r="683" spans="1:1" x14ac:dyDescent="0.2">
      <c r="A683" s="83"/>
    </row>
    <row r="684" spans="1:1" x14ac:dyDescent="0.2">
      <c r="A684" s="83"/>
    </row>
    <row r="685" spans="1:1" x14ac:dyDescent="0.2">
      <c r="A685" s="83"/>
    </row>
    <row r="686" spans="1:1" x14ac:dyDescent="0.2">
      <c r="A686" s="83"/>
    </row>
    <row r="687" spans="1:1" x14ac:dyDescent="0.2">
      <c r="A687" s="83"/>
    </row>
    <row r="688" spans="1:1" x14ac:dyDescent="0.2">
      <c r="A688" s="83"/>
    </row>
    <row r="689" spans="1:1" x14ac:dyDescent="0.2">
      <c r="A689" s="83"/>
    </row>
    <row r="690" spans="1:1" x14ac:dyDescent="0.2">
      <c r="A690" s="83"/>
    </row>
    <row r="691" spans="1:1" x14ac:dyDescent="0.2">
      <c r="A691" s="83"/>
    </row>
    <row r="692" spans="1:1" x14ac:dyDescent="0.2">
      <c r="A692" s="83"/>
    </row>
    <row r="693" spans="1:1" x14ac:dyDescent="0.2">
      <c r="A693" s="83"/>
    </row>
    <row r="694" spans="1:1" x14ac:dyDescent="0.2">
      <c r="A694" s="83"/>
    </row>
    <row r="695" spans="1:1" x14ac:dyDescent="0.2">
      <c r="A695" s="83"/>
    </row>
    <row r="696" spans="1:1" x14ac:dyDescent="0.2">
      <c r="A696" s="83"/>
    </row>
    <row r="697" spans="1:1" x14ac:dyDescent="0.2">
      <c r="A697" s="83"/>
    </row>
    <row r="698" spans="1:1" x14ac:dyDescent="0.2">
      <c r="A698" s="83"/>
    </row>
    <row r="699" spans="1:1" x14ac:dyDescent="0.2">
      <c r="A699" s="83"/>
    </row>
    <row r="700" spans="1:1" x14ac:dyDescent="0.2">
      <c r="A700" s="83"/>
    </row>
    <row r="701" spans="1:1" x14ac:dyDescent="0.2">
      <c r="A701" s="83"/>
    </row>
    <row r="702" spans="1:1" x14ac:dyDescent="0.2">
      <c r="A702" s="83"/>
    </row>
    <row r="703" spans="1:1" x14ac:dyDescent="0.2">
      <c r="A703" s="83"/>
    </row>
    <row r="704" spans="1:1" x14ac:dyDescent="0.2">
      <c r="A704" s="83"/>
    </row>
    <row r="705" spans="1:1" x14ac:dyDescent="0.2">
      <c r="A705" s="83"/>
    </row>
    <row r="706" spans="1:1" x14ac:dyDescent="0.2">
      <c r="A706" s="83"/>
    </row>
    <row r="707" spans="1:1" x14ac:dyDescent="0.2">
      <c r="A707" s="83"/>
    </row>
    <row r="708" spans="1:1" x14ac:dyDescent="0.2">
      <c r="A708" s="83"/>
    </row>
    <row r="709" spans="1:1" x14ac:dyDescent="0.2">
      <c r="A709" s="83"/>
    </row>
    <row r="710" spans="1:1" x14ac:dyDescent="0.2">
      <c r="A710" s="83"/>
    </row>
    <row r="711" spans="1:1" x14ac:dyDescent="0.2">
      <c r="A711" s="83"/>
    </row>
    <row r="712" spans="1:1" x14ac:dyDescent="0.2">
      <c r="A712" s="83"/>
    </row>
    <row r="713" spans="1:1" x14ac:dyDescent="0.2">
      <c r="A713" s="83"/>
    </row>
    <row r="714" spans="1:1" x14ac:dyDescent="0.2">
      <c r="A714" s="83"/>
    </row>
    <row r="715" spans="1:1" x14ac:dyDescent="0.2">
      <c r="A715" s="83"/>
    </row>
    <row r="716" spans="1:1" x14ac:dyDescent="0.2">
      <c r="A716" s="83"/>
    </row>
    <row r="717" spans="1:1" x14ac:dyDescent="0.2">
      <c r="A717" s="83"/>
    </row>
    <row r="718" spans="1:1" x14ac:dyDescent="0.2">
      <c r="A718" s="83"/>
    </row>
    <row r="719" spans="1:1" x14ac:dyDescent="0.2">
      <c r="A719" s="83"/>
    </row>
    <row r="720" spans="1:1" x14ac:dyDescent="0.2">
      <c r="A720" s="83"/>
    </row>
    <row r="721" spans="1:1" x14ac:dyDescent="0.2">
      <c r="A721" s="83"/>
    </row>
    <row r="722" spans="1:1" x14ac:dyDescent="0.2">
      <c r="A722" s="83"/>
    </row>
    <row r="723" spans="1:1" x14ac:dyDescent="0.2">
      <c r="A723" s="83"/>
    </row>
    <row r="724" spans="1:1" x14ac:dyDescent="0.2">
      <c r="A724" s="83"/>
    </row>
    <row r="725" spans="1:1" x14ac:dyDescent="0.2">
      <c r="A725" s="83"/>
    </row>
    <row r="726" spans="1:1" x14ac:dyDescent="0.2">
      <c r="A726" s="83"/>
    </row>
    <row r="727" spans="1:1" x14ac:dyDescent="0.2">
      <c r="A727" s="83"/>
    </row>
    <row r="728" spans="1:1" x14ac:dyDescent="0.2">
      <c r="A728" s="83"/>
    </row>
    <row r="729" spans="1:1" x14ac:dyDescent="0.2">
      <c r="A729" s="83"/>
    </row>
    <row r="730" spans="1:1" x14ac:dyDescent="0.2">
      <c r="A730" s="83"/>
    </row>
    <row r="731" spans="1:1" x14ac:dyDescent="0.2">
      <c r="A731" s="83"/>
    </row>
    <row r="732" spans="1:1" x14ac:dyDescent="0.2">
      <c r="A732" s="83"/>
    </row>
    <row r="733" spans="1:1" x14ac:dyDescent="0.2">
      <c r="A733" s="83"/>
    </row>
    <row r="734" spans="1:1" x14ac:dyDescent="0.2">
      <c r="A734" s="83"/>
    </row>
    <row r="735" spans="1:1" x14ac:dyDescent="0.2">
      <c r="A735" s="83"/>
    </row>
    <row r="736" spans="1:1" x14ac:dyDescent="0.2">
      <c r="A736" s="83"/>
    </row>
    <row r="737" spans="1:1" x14ac:dyDescent="0.2">
      <c r="A737" s="83"/>
    </row>
    <row r="738" spans="1:1" x14ac:dyDescent="0.2">
      <c r="A738" s="83"/>
    </row>
    <row r="739" spans="1:1" x14ac:dyDescent="0.2">
      <c r="A739" s="83"/>
    </row>
    <row r="740" spans="1:1" x14ac:dyDescent="0.2">
      <c r="A740" s="83"/>
    </row>
    <row r="741" spans="1:1" x14ac:dyDescent="0.2">
      <c r="A741" s="83"/>
    </row>
    <row r="742" spans="1:1" x14ac:dyDescent="0.2">
      <c r="A742" s="83"/>
    </row>
    <row r="743" spans="1:1" x14ac:dyDescent="0.2">
      <c r="A743" s="83"/>
    </row>
    <row r="744" spans="1:1" x14ac:dyDescent="0.2">
      <c r="A744" s="83"/>
    </row>
    <row r="745" spans="1:1" x14ac:dyDescent="0.2">
      <c r="A745" s="83"/>
    </row>
    <row r="746" spans="1:1" x14ac:dyDescent="0.2">
      <c r="A746" s="83"/>
    </row>
    <row r="747" spans="1:1" x14ac:dyDescent="0.2">
      <c r="A747" s="83"/>
    </row>
    <row r="748" spans="1:1" x14ac:dyDescent="0.2">
      <c r="A748" s="83"/>
    </row>
    <row r="749" spans="1:1" x14ac:dyDescent="0.2">
      <c r="A749" s="83"/>
    </row>
    <row r="750" spans="1:1" x14ac:dyDescent="0.2">
      <c r="A750" s="83"/>
    </row>
    <row r="751" spans="1:1" x14ac:dyDescent="0.2">
      <c r="A751" s="83"/>
    </row>
    <row r="752" spans="1:1" x14ac:dyDescent="0.2">
      <c r="A752" s="83"/>
    </row>
    <row r="753" spans="1:1" x14ac:dyDescent="0.2">
      <c r="A753" s="83"/>
    </row>
    <row r="754" spans="1:1" x14ac:dyDescent="0.2">
      <c r="A754" s="83"/>
    </row>
    <row r="755" spans="1:1" x14ac:dyDescent="0.2">
      <c r="A755" s="83"/>
    </row>
    <row r="756" spans="1:1" x14ac:dyDescent="0.2">
      <c r="A756" s="83"/>
    </row>
    <row r="757" spans="1:1" x14ac:dyDescent="0.2">
      <c r="A757" s="83"/>
    </row>
    <row r="758" spans="1:1" x14ac:dyDescent="0.2">
      <c r="A758" s="83"/>
    </row>
    <row r="759" spans="1:1" x14ac:dyDescent="0.2">
      <c r="A759" s="83"/>
    </row>
    <row r="760" spans="1:1" x14ac:dyDescent="0.2">
      <c r="A760" s="83"/>
    </row>
    <row r="761" spans="1:1" x14ac:dyDescent="0.2">
      <c r="A761" s="83"/>
    </row>
    <row r="762" spans="1:1" x14ac:dyDescent="0.2">
      <c r="A762" s="83"/>
    </row>
    <row r="763" spans="1:1" x14ac:dyDescent="0.2">
      <c r="A763" s="83"/>
    </row>
    <row r="764" spans="1:1" x14ac:dyDescent="0.2">
      <c r="A764" s="83"/>
    </row>
    <row r="765" spans="1:1" x14ac:dyDescent="0.2">
      <c r="A765" s="83"/>
    </row>
    <row r="766" spans="1:1" x14ac:dyDescent="0.2">
      <c r="A766" s="83"/>
    </row>
    <row r="767" spans="1:1" x14ac:dyDescent="0.2">
      <c r="A767" s="83"/>
    </row>
    <row r="768" spans="1:1" x14ac:dyDescent="0.2">
      <c r="A768" s="83"/>
    </row>
    <row r="769" spans="1:1" x14ac:dyDescent="0.2">
      <c r="A769" s="83"/>
    </row>
    <row r="770" spans="1:1" x14ac:dyDescent="0.2">
      <c r="A770" s="83"/>
    </row>
    <row r="771" spans="1:1" x14ac:dyDescent="0.2">
      <c r="A771" s="83"/>
    </row>
    <row r="772" spans="1:1" x14ac:dyDescent="0.2">
      <c r="A772" s="83"/>
    </row>
    <row r="773" spans="1:1" x14ac:dyDescent="0.2">
      <c r="A773" s="83"/>
    </row>
    <row r="774" spans="1:1" x14ac:dyDescent="0.2">
      <c r="A774" s="83"/>
    </row>
    <row r="775" spans="1:1" x14ac:dyDescent="0.2">
      <c r="A775" s="83"/>
    </row>
    <row r="776" spans="1:1" x14ac:dyDescent="0.2">
      <c r="A776" s="83"/>
    </row>
    <row r="777" spans="1:1" x14ac:dyDescent="0.2">
      <c r="A777" s="83"/>
    </row>
    <row r="778" spans="1:1" x14ac:dyDescent="0.2">
      <c r="A778" s="83"/>
    </row>
    <row r="779" spans="1:1" x14ac:dyDescent="0.2">
      <c r="A779" s="83"/>
    </row>
    <row r="780" spans="1:1" x14ac:dyDescent="0.2">
      <c r="A780" s="83"/>
    </row>
    <row r="781" spans="1:1" x14ac:dyDescent="0.2">
      <c r="A781" s="83"/>
    </row>
    <row r="782" spans="1:1" x14ac:dyDescent="0.2">
      <c r="A782" s="83"/>
    </row>
    <row r="783" spans="1:1" x14ac:dyDescent="0.2">
      <c r="A783" s="83"/>
    </row>
  </sheetData>
  <sheetProtection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22</vt:lpstr>
      <vt:lpstr>22A</vt:lpstr>
      <vt:lpstr>Bank</vt:lpstr>
      <vt:lpstr>'22'!Print_Area</vt:lpstr>
      <vt:lpstr>'22A'!Print_Area</vt:lpstr>
      <vt:lpstr>'22'!Print_Titles</vt:lpstr>
      <vt:lpstr>'22A'!Print_Titles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2006-03-09T02:54:08Z</cp:lastPrinted>
  <dcterms:created xsi:type="dcterms:W3CDTF">2005-10-26T01:00:36Z</dcterms:created>
  <dcterms:modified xsi:type="dcterms:W3CDTF">2016-07-04T02:58:06Z</dcterms:modified>
</cp:coreProperties>
</file>