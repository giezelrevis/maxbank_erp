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P\Cir644_Simplified_FRP_RBs\"/>
    </mc:Choice>
  </mc:AlternateContent>
  <workbookProtection workbookAlgorithmName="SHA-512" workbookHashValue="iXpA/pFiWyygFYLCgi0R9lnsIcb6bGfBRHAT+RMDh7TwE4QXGl+Mm6zY2MGsAQ7JWbTxcbKzIID2TM3zSW4UfA==" workbookSaltValue="utpQ7GvKdTbrMiyv0snnrA==" workbookSpinCount="100000" lockStructure="1"/>
  <bookViews>
    <workbookView xWindow="-15" yWindow="-15" windowWidth="15330" windowHeight="4035" firstSheet="2" activeTab="2"/>
  </bookViews>
  <sheets>
    <sheet name="1" sheetId="3" state="hidden" r:id="rId1"/>
    <sheet name="2" sheetId="5" state="hidden" r:id="rId2"/>
    <sheet name="Bank" sheetId="4" r:id="rId3"/>
  </sheets>
  <definedNames>
    <definedName name="_xlnm.Print_Area" localSheetId="0">'1'!$A$1:$P$23</definedName>
    <definedName name="_xlnm.Print_Area" localSheetId="1">'2'!$A$1:$AO$24</definedName>
    <definedName name="_xlnm.Print_Titles" localSheetId="0">'1'!$A:$H,'1'!$1:$9</definedName>
    <definedName name="_xlnm.Print_Titles" localSheetId="1">'2'!$A:$G,'2'!$1:$9</definedName>
  </definedNames>
  <calcPr calcId="152511" fullCalcOnLoad="1"/>
</workbook>
</file>

<file path=xl/calcChain.xml><?xml version="1.0" encoding="utf-8"?>
<calcChain xmlns="http://schemas.openxmlformats.org/spreadsheetml/2006/main">
  <c r="P24" i="3" l="1"/>
  <c r="AN25" i="5"/>
  <c r="AF25" i="5"/>
  <c r="X25" i="5"/>
  <c r="P25" i="5"/>
  <c r="U16" i="5"/>
  <c r="T16" i="5"/>
  <c r="Q16" i="5"/>
  <c r="Q19" i="5" s="1"/>
  <c r="P23" i="3"/>
  <c r="P11" i="3"/>
  <c r="P12" i="3"/>
  <c r="I13" i="3"/>
  <c r="I10" i="3" s="1"/>
  <c r="K13" i="3"/>
  <c r="M13" i="3"/>
  <c r="M10" i="3" s="1"/>
  <c r="M21" i="3" s="1"/>
  <c r="O13" i="3"/>
  <c r="P14" i="3"/>
  <c r="P15" i="3"/>
  <c r="K18" i="3"/>
  <c r="P18" i="3" s="1"/>
  <c r="K16" i="3"/>
  <c r="M18" i="3"/>
  <c r="M16" i="3"/>
  <c r="O18" i="3"/>
  <c r="O16" i="3"/>
  <c r="P17" i="3"/>
  <c r="P19" i="3"/>
  <c r="P20" i="3"/>
  <c r="K10" i="3"/>
  <c r="K21" i="3"/>
  <c r="O10" i="3"/>
  <c r="O21" i="3"/>
  <c r="N13" i="3"/>
  <c r="N10" i="3"/>
  <c r="N18" i="3"/>
  <c r="N16" i="3"/>
  <c r="N21" i="3" s="1"/>
  <c r="L13" i="3"/>
  <c r="L10" i="3"/>
  <c r="L18" i="3"/>
  <c r="L16" i="3" s="1"/>
  <c r="L21" i="3" s="1"/>
  <c r="J13" i="3"/>
  <c r="J10" i="3"/>
  <c r="J18" i="3"/>
  <c r="J16" i="3" s="1"/>
  <c r="J21" i="3" s="1"/>
  <c r="AM16" i="5"/>
  <c r="AN16" i="5"/>
  <c r="AN17" i="5"/>
  <c r="AN18" i="5"/>
  <c r="AF23" i="5"/>
  <c r="AF24" i="5"/>
  <c r="X23" i="5"/>
  <c r="X24" i="5"/>
  <c r="W16" i="5"/>
  <c r="X17" i="5"/>
  <c r="X18" i="5"/>
  <c r="P23" i="5"/>
  <c r="AO23" i="5" s="1"/>
  <c r="P24" i="5"/>
  <c r="O16" i="5"/>
  <c r="N16" i="5"/>
  <c r="I10" i="5"/>
  <c r="P10" i="5" s="1"/>
  <c r="AO10" i="5" s="1"/>
  <c r="J10" i="5"/>
  <c r="K10" i="5"/>
  <c r="K19" i="5" s="1"/>
  <c r="L10" i="5"/>
  <c r="M10" i="5"/>
  <c r="N10" i="5"/>
  <c r="O10" i="5"/>
  <c r="Q10" i="5"/>
  <c r="R10" i="5"/>
  <c r="S10" i="5"/>
  <c r="X10" i="5" s="1"/>
  <c r="T10" i="5"/>
  <c r="U10" i="5"/>
  <c r="V10" i="5"/>
  <c r="W10" i="5"/>
  <c r="Y10" i="5"/>
  <c r="AF10" i="5" s="1"/>
  <c r="Z10" i="5"/>
  <c r="AA10" i="5"/>
  <c r="AB10" i="5"/>
  <c r="AC10" i="5"/>
  <c r="AD10" i="5"/>
  <c r="AE10" i="5"/>
  <c r="AG10" i="5"/>
  <c r="AN10" i="5" s="1"/>
  <c r="AH10" i="5"/>
  <c r="AI10" i="5"/>
  <c r="AI19" i="5" s="1"/>
  <c r="AJ10" i="5"/>
  <c r="AJ19" i="5" s="1"/>
  <c r="AK10" i="5"/>
  <c r="AK19" i="5" s="1"/>
  <c r="AL10" i="5"/>
  <c r="AM10" i="5"/>
  <c r="AM19" i="5" s="1"/>
  <c r="P11" i="5"/>
  <c r="AO11" i="5" s="1"/>
  <c r="X11" i="5"/>
  <c r="AF11" i="5"/>
  <c r="AN11" i="5"/>
  <c r="P12" i="5"/>
  <c r="X12" i="5"/>
  <c r="AF12" i="5"/>
  <c r="AN12" i="5"/>
  <c r="AO12" i="5"/>
  <c r="J13" i="5"/>
  <c r="K13" i="5"/>
  <c r="L13" i="5"/>
  <c r="L19" i="5" s="1"/>
  <c r="M13" i="5"/>
  <c r="M19" i="5" s="1"/>
  <c r="N13" i="5"/>
  <c r="O13" i="5"/>
  <c r="R13" i="5"/>
  <c r="R19" i="5" s="1"/>
  <c r="S13" i="5"/>
  <c r="S19" i="5" s="1"/>
  <c r="T13" i="5"/>
  <c r="U13" i="5"/>
  <c r="U19" i="5" s="1"/>
  <c r="V13" i="5"/>
  <c r="V19" i="5" s="1"/>
  <c r="W13" i="5"/>
  <c r="W19" i="5" s="1"/>
  <c r="Z13" i="5"/>
  <c r="AA13" i="5"/>
  <c r="AB13" i="5"/>
  <c r="AC13" i="5"/>
  <c r="AF13" i="5" s="1"/>
  <c r="AD13" i="5"/>
  <c r="AE13" i="5"/>
  <c r="AH13" i="5"/>
  <c r="AI13" i="5"/>
  <c r="AN13" i="5" s="1"/>
  <c r="AJ13" i="5"/>
  <c r="AK13" i="5"/>
  <c r="AL13" i="5"/>
  <c r="AM13" i="5"/>
  <c r="P14" i="5"/>
  <c r="X14" i="5"/>
  <c r="AF14" i="5"/>
  <c r="AN14" i="5"/>
  <c r="P15" i="5"/>
  <c r="X15" i="5"/>
  <c r="AF15" i="5"/>
  <c r="AN15" i="5"/>
  <c r="I16" i="5"/>
  <c r="J16" i="5"/>
  <c r="K16" i="5"/>
  <c r="P16" i="5" s="1"/>
  <c r="L16" i="5"/>
  <c r="M16" i="5"/>
  <c r="V16" i="5"/>
  <c r="AD16" i="5"/>
  <c r="AD19" i="5" s="1"/>
  <c r="AE16" i="5"/>
  <c r="AF16" i="5" s="1"/>
  <c r="AL16" i="5"/>
  <c r="P17" i="5"/>
  <c r="AO17" i="5" s="1"/>
  <c r="AO16" i="5" s="1"/>
  <c r="AF17" i="5"/>
  <c r="P18" i="5"/>
  <c r="AF18" i="5"/>
  <c r="I19" i="5"/>
  <c r="J19" i="5"/>
  <c r="O19" i="5"/>
  <c r="T19" i="5"/>
  <c r="Y19" i="5"/>
  <c r="Z19" i="5"/>
  <c r="AA19" i="5"/>
  <c r="AB19" i="5"/>
  <c r="AC19" i="5"/>
  <c r="AH19" i="5"/>
  <c r="AL19" i="5"/>
  <c r="I21" i="5"/>
  <c r="J21" i="5"/>
  <c r="K21" i="5"/>
  <c r="P21" i="5" s="1"/>
  <c r="AO21" i="5" s="1"/>
  <c r="L21" i="5"/>
  <c r="M21" i="5"/>
  <c r="N21" i="5"/>
  <c r="O21" i="5"/>
  <c r="Q21" i="5"/>
  <c r="R21" i="5"/>
  <c r="S21" i="5"/>
  <c r="X21" i="5" s="1"/>
  <c r="T21" i="5"/>
  <c r="U21" i="5"/>
  <c r="V21" i="5"/>
  <c r="W21" i="5"/>
  <c r="Y21" i="5"/>
  <c r="AF21" i="5" s="1"/>
  <c r="Z21" i="5"/>
  <c r="AA21" i="5"/>
  <c r="AB21" i="5"/>
  <c r="AC21" i="5"/>
  <c r="AD21" i="5"/>
  <c r="AE21" i="5"/>
  <c r="AG21" i="5"/>
  <c r="AN21" i="5" s="1"/>
  <c r="AH21" i="5"/>
  <c r="AI21" i="5"/>
  <c r="AJ21" i="5"/>
  <c r="AK21" i="5"/>
  <c r="AL21" i="5"/>
  <c r="AM21" i="5"/>
  <c r="P22" i="5"/>
  <c r="AO22" i="5" s="1"/>
  <c r="X22" i="5"/>
  <c r="AF22" i="5"/>
  <c r="AN22" i="5"/>
  <c r="AN23" i="5"/>
  <c r="AN24" i="5"/>
  <c r="AO24" i="5"/>
  <c r="N19" i="5"/>
  <c r="P16" i="3"/>
  <c r="AO15" i="5"/>
  <c r="AO14" i="5"/>
  <c r="P13" i="5"/>
  <c r="AO18" i="5"/>
  <c r="AO25" i="5"/>
  <c r="P10" i="3" l="1"/>
  <c r="I21" i="3"/>
  <c r="P21" i="3" s="1"/>
  <c r="AO13" i="5"/>
  <c r="X19" i="5"/>
  <c r="P19" i="5"/>
  <c r="P13" i="3"/>
  <c r="AG19" i="5"/>
  <c r="AN19" i="5" s="1"/>
  <c r="X16" i="5"/>
  <c r="X13" i="5"/>
  <c r="AE19" i="5"/>
  <c r="AF19" i="5" s="1"/>
  <c r="AO19" i="5" l="1"/>
</calcChain>
</file>

<file path=xl/sharedStrings.xml><?xml version="1.0" encoding="utf-8"?>
<sst xmlns="http://schemas.openxmlformats.org/spreadsheetml/2006/main" count="794" uniqueCount="711">
  <si>
    <t>Checks and Other Cash Items</t>
  </si>
  <si>
    <t>Particulars</t>
  </si>
  <si>
    <t>Account Code</t>
  </si>
  <si>
    <t>Peso Accts</t>
  </si>
  <si>
    <t>Foreign Regular</t>
  </si>
  <si>
    <t>FCDU/EFCDU</t>
  </si>
  <si>
    <t>Total</t>
  </si>
  <si>
    <t>In US $</t>
  </si>
  <si>
    <t>Peso Equiv.</t>
  </si>
  <si>
    <t>Resident</t>
  </si>
  <si>
    <t>(1)</t>
  </si>
  <si>
    <t>(2)</t>
  </si>
  <si>
    <t>BSP</t>
  </si>
  <si>
    <t>(3)</t>
  </si>
  <si>
    <t>Banks</t>
  </si>
  <si>
    <t>(a)</t>
  </si>
  <si>
    <t>UBs/KBs</t>
  </si>
  <si>
    <t>(b)</t>
  </si>
  <si>
    <t>Other Banks</t>
  </si>
  <si>
    <t>Non-Resident</t>
  </si>
  <si>
    <t>Central Government/Central Banks</t>
  </si>
  <si>
    <t>OBUs</t>
  </si>
  <si>
    <t>Additional Information</t>
  </si>
  <si>
    <t>Due from PCHC</t>
  </si>
  <si>
    <t>FCDU</t>
  </si>
  <si>
    <t>105100000000100000</t>
  </si>
  <si>
    <t>105100000000121100</t>
  </si>
  <si>
    <t>105100000000130000</t>
  </si>
  <si>
    <t>105100000000140000</t>
  </si>
  <si>
    <t>105100000000141000</t>
  </si>
  <si>
    <t>105100000000142000</t>
  </si>
  <si>
    <t>105100000000200000</t>
  </si>
  <si>
    <t>105100000000210000</t>
  </si>
  <si>
    <t>105100000000230000</t>
  </si>
  <si>
    <t>105100000000231000</t>
  </si>
  <si>
    <t>105100000000232000</t>
  </si>
  <si>
    <t>105100000000000000</t>
  </si>
  <si>
    <t>105100000500600000</t>
  </si>
  <si>
    <t>$$$</t>
  </si>
  <si>
    <t>x</t>
  </si>
  <si>
    <t>Due from Other Banks</t>
  </si>
  <si>
    <t>Classified as to Type of Deposit</t>
  </si>
  <si>
    <t xml:space="preserve">Demand </t>
  </si>
  <si>
    <t>Savings Deposit</t>
  </si>
  <si>
    <t>NOW</t>
  </si>
  <si>
    <t>Time Certificates of Deposit</t>
  </si>
  <si>
    <t>Foreign Offices</t>
  </si>
  <si>
    <t>Resident Banks</t>
  </si>
  <si>
    <t>105200000000140000</t>
  </si>
  <si>
    <t>105200000000141000</t>
  </si>
  <si>
    <t>105200000000142000</t>
  </si>
  <si>
    <t>Non-Resident Banks/OBUs</t>
  </si>
  <si>
    <t>105200000000230000</t>
  </si>
  <si>
    <t>105200000000231000</t>
  </si>
  <si>
    <t>105200000000232000</t>
  </si>
  <si>
    <t>(c)</t>
  </si>
  <si>
    <t>Resident Banks - Clearing Account</t>
  </si>
  <si>
    <t>Local Currency</t>
  </si>
  <si>
    <t>105200000000190001</t>
  </si>
  <si>
    <t xml:space="preserve">Foreign Currency </t>
  </si>
  <si>
    <t>105200000000190002</t>
  </si>
  <si>
    <t>105200000000000000</t>
  </si>
  <si>
    <t>Additional Information:</t>
  </si>
  <si>
    <t>A.</t>
  </si>
  <si>
    <t>Classified as to Original Term</t>
  </si>
  <si>
    <t>105200000000610000</t>
  </si>
  <si>
    <t>Short Term (one year or less)</t>
  </si>
  <si>
    <t>105200000000611000</t>
  </si>
  <si>
    <t>Medium Term (&gt;1 year to 5 years)</t>
  </si>
  <si>
    <t>105200000000612100</t>
  </si>
  <si>
    <t>Long Term (&gt;5  years)</t>
  </si>
  <si>
    <t>105200000000612200</t>
  </si>
  <si>
    <t>Government-Philippine Postal Corporation</t>
  </si>
  <si>
    <t>TOTAL</t>
  </si>
  <si>
    <t/>
  </si>
  <si>
    <t>105200000000190000</t>
  </si>
  <si>
    <t>Solo Reports</t>
  </si>
  <si>
    <t>ASPAC RURAL BANK INC</t>
  </si>
  <si>
    <t>BACLARAN RB INC</t>
  </si>
  <si>
    <t>BALANGA RURAL BANK, INC.</t>
  </si>
  <si>
    <t>BALIUAG RB INC</t>
  </si>
  <si>
    <t>BANCO BAKUN INC (A RURAL BANK)</t>
  </si>
  <si>
    <t>BANCO BATANGAN INC(A RB)</t>
  </si>
  <si>
    <t>BANCO MAXIMO INC (A RURAL BANK)</t>
  </si>
  <si>
    <t>BANCO NG MASA (A MF-ORIENTED RB)</t>
  </si>
  <si>
    <t>BANGKO CARRASCAL INC (A RB)</t>
  </si>
  <si>
    <t>BANGKO KABAYAN (A RURAL BANK) INC</t>
  </si>
  <si>
    <t>BANGKO PANGASINAN-A RB INC</t>
  </si>
  <si>
    <t>BANGKO PASIG(RURAL BANK)</t>
  </si>
  <si>
    <t>BANGKO RURAL NG MAGARAO(CAM SUR)INC</t>
  </si>
  <si>
    <t>BANK OF FLORIDA INC (A RB)</t>
  </si>
  <si>
    <t>BANK OF MAKATI (A RURAL BANK) INC</t>
  </si>
  <si>
    <t>BATAAN COOPERATIVE BANK</t>
  </si>
  <si>
    <t>BATANGAS RB FOR COOP INC</t>
  </si>
  <si>
    <t>BENGUET CENTER BANK INC A RB</t>
  </si>
  <si>
    <t>BHF RURAL BANK INC</t>
  </si>
  <si>
    <t>BINAN RURAL BANK INC</t>
  </si>
  <si>
    <t>BINANGONAN RB INC</t>
  </si>
  <si>
    <t>BOLBOK RB INC</t>
  </si>
  <si>
    <t>BUTUAN CITY RB INC</t>
  </si>
  <si>
    <t>CABANATUAN CITY RB INC</t>
  </si>
  <si>
    <t>CAGSAWA RURAL BANK INC</t>
  </si>
  <si>
    <t>CAMILING RB INC</t>
  </si>
  <si>
    <t>CAPIZ SETTLERS COOPERATIVE RB INC</t>
  </si>
  <si>
    <t>CAVITE RURAL BANKING CORP</t>
  </si>
  <si>
    <t>CEBUANA LHUILLIER RB INC</t>
  </si>
  <si>
    <t>CENTRAL EQUITY RURAL BANK INC</t>
  </si>
  <si>
    <t>CITIZEN'S RB(CABIAO) INC</t>
  </si>
  <si>
    <t>CLASSIC RURAL BANK INC</t>
  </si>
  <si>
    <t>COOP BANK OF AGUSAN DEL SUR</t>
  </si>
  <si>
    <t>COOP BANK OF AURORA</t>
  </si>
  <si>
    <t>COOP BANK OF CAMARINES NORTE</t>
  </si>
  <si>
    <t>COOP BANK OF CAVITE</t>
  </si>
  <si>
    <t>COOP BANK OF LA UNION</t>
  </si>
  <si>
    <t>COOP BANK OF MT PROVINCE</t>
  </si>
  <si>
    <t>COOP BANK OF NEGROS ORIENTAL</t>
  </si>
  <si>
    <t>COOP BANK OF PALAWAN</t>
  </si>
  <si>
    <t>COOP BANK OF QUEZON PROVINCE</t>
  </si>
  <si>
    <t>COOP BANK OF SURIGAO DEL SUR</t>
  </si>
  <si>
    <t>COOP BANK OF ZAMBALES</t>
  </si>
  <si>
    <t>COOP RB OF BULACAN INC</t>
  </si>
  <si>
    <t>COOPERATIVE BANK OF CEBU</t>
  </si>
  <si>
    <t>CROWN BANK, INC (A RB)</t>
  </si>
  <si>
    <t>CUYAPO RB INC</t>
  </si>
  <si>
    <t>DE LA O RURAL BANK INC</t>
  </si>
  <si>
    <t>DIAMOND RURAL BANK INC</t>
  </si>
  <si>
    <t>DUMAGUETE RB INC</t>
  </si>
  <si>
    <t>EMERALD RURAL BANK INC</t>
  </si>
  <si>
    <t>EMPIRE RURAL BANK INC</t>
  </si>
  <si>
    <t>ENTREPRENUER RB INC</t>
  </si>
  <si>
    <t>FARMERS RB INC</t>
  </si>
  <si>
    <t>FIL-AGRO RURAL BANK INC</t>
  </si>
  <si>
    <t>FILIPINO SAVERS BANK INC (A RB)</t>
  </si>
  <si>
    <t>FIRST AGRO-INDUSTRIAL RB INC</t>
  </si>
  <si>
    <t>FIRST COMMUNITY BANK INC (RB)</t>
  </si>
  <si>
    <t>FIRST MIDLAND RURAL BANK INC</t>
  </si>
  <si>
    <t>FIRST MINDORO MICROFINANCE RB INC</t>
  </si>
  <si>
    <t>FIRST STATE RURAL BANK INC</t>
  </si>
  <si>
    <t>FIRST UNITED FARMERS RB INC</t>
  </si>
  <si>
    <t>FRONTIER RURAL BANK INC</t>
  </si>
  <si>
    <t>GATEWAY RURAL BANK INC</t>
  </si>
  <si>
    <t>GOLDEN RB OF THE PHILS</t>
  </si>
  <si>
    <t>GRAND-AGRI RURAL BANK</t>
  </si>
  <si>
    <t>GUAGUA RURAL BANK INC</t>
  </si>
  <si>
    <t>GUAGUA SAVERS BANK(A RB) INC</t>
  </si>
  <si>
    <t>ILOCOS SUR COOPERATIVE BANK</t>
  </si>
  <si>
    <t>IMUS RURAL BANK INC</t>
  </si>
  <si>
    <t>INSULAR RURAL BANK</t>
  </si>
  <si>
    <t>JANIUAY RURAL BANK INC</t>
  </si>
  <si>
    <t>KALUYAGAN RURAL BANK INC</t>
  </si>
  <si>
    <t>KEY RURAL BANK INC</t>
  </si>
  <si>
    <t>LAGAWE HIGHLANDS RB INC</t>
  </si>
  <si>
    <t>LAPU-LAPU RB INC</t>
  </si>
  <si>
    <t>LIMCOMA RURAL BANK INC</t>
  </si>
  <si>
    <t>LIPA BANK INC (A RB)</t>
  </si>
  <si>
    <t>LUDB BANK INC (A RB)</t>
  </si>
  <si>
    <t>MAHARLIKA RURAL BANK INC</t>
  </si>
  <si>
    <t>MALARAYAT RB INC</t>
  </si>
  <si>
    <t>MALAYBALAY RB INC</t>
  </si>
  <si>
    <t>METRO SOUTH COOP BANK</t>
  </si>
  <si>
    <t>MILLENNIUM BANK INC-A RB</t>
  </si>
  <si>
    <t>MONEY MALL RB INC</t>
  </si>
  <si>
    <t>NATIONAL TEACHERS &amp; EMP. COOP BANK</t>
  </si>
  <si>
    <t>NEW RB OF AGONCILLO INC</t>
  </si>
  <si>
    <t>NEW RB OF SAN LEONARDO(N.E.) INC</t>
  </si>
  <si>
    <t>NEW RB OF VICTORIAS INC</t>
  </si>
  <si>
    <t>NORTH PACIFIC BANKING CORP (A RB)</t>
  </si>
  <si>
    <t>OCCIDENTAL MINDORO RURAL BANK INC</t>
  </si>
  <si>
    <t>PANGASINAN BANK (A RB) INC</t>
  </si>
  <si>
    <t>PEOPLE'S RB(GEN SANTOS CITY) INC</t>
  </si>
  <si>
    <t>PROGRESSIVE BANK INC(PROG.A RB INC)</t>
  </si>
  <si>
    <t>PROVIDENCE RURAL BANK INC</t>
  </si>
  <si>
    <t>QUEZON CAPITAL RB INC</t>
  </si>
  <si>
    <t>QUEZON TRADERS RB OF CANDELARIA INC</t>
  </si>
  <si>
    <t>RB OF AGOO INC</t>
  </si>
  <si>
    <t>RB OF ALAMINOS (LAGUNA) INC</t>
  </si>
  <si>
    <t>RB OF ALAMINOS (PANGASINAN) INC</t>
  </si>
  <si>
    <t>RB OF ALITAGTAG INC</t>
  </si>
  <si>
    <t>RB OF AMADEO(CAVITE)INC</t>
  </si>
  <si>
    <t>RB OF ANGELES INC</t>
  </si>
  <si>
    <t>RB OF ANGONO INC</t>
  </si>
  <si>
    <t>RB OF ANTIPOLO INC</t>
  </si>
  <si>
    <t>RB OF APALIT INC</t>
  </si>
  <si>
    <t>RB OF ARITAO INC</t>
  </si>
  <si>
    <t>RB OF ATIMONAN INC</t>
  </si>
  <si>
    <t>RB OF BACNOTAN INC</t>
  </si>
  <si>
    <t>RB OF BACOLOD CITY INC</t>
  </si>
  <si>
    <t>RB OF BAGUIO INC</t>
  </si>
  <si>
    <t>RB OF BAROTAC NUEVO INC</t>
  </si>
  <si>
    <t>RB OF BATAC INC</t>
  </si>
  <si>
    <t>RB OF BAUANG INC</t>
  </si>
  <si>
    <t>RB OF BAY INC</t>
  </si>
  <si>
    <t>RB OF BAYOMBONG INC</t>
  </si>
  <si>
    <t>RB OF BURAUEN INC</t>
  </si>
  <si>
    <t>RB OF BUSTOS INC</t>
  </si>
  <si>
    <t>RB OF CABATUAN (ILOILO) INC</t>
  </si>
  <si>
    <t>RB OF CADIZ INC</t>
  </si>
  <si>
    <t>RB OF CAINTA INC</t>
  </si>
  <si>
    <t>RB OF CALACA INC</t>
  </si>
  <si>
    <t>RB OF CALASIAO INC</t>
  </si>
  <si>
    <t>RB OF CALAUAN INC</t>
  </si>
  <si>
    <t>RB OF CALBAYOG CITY INC</t>
  </si>
  <si>
    <t>RB OF CALOOCAN INC</t>
  </si>
  <si>
    <t>RB OF COTABATO INC</t>
  </si>
  <si>
    <t>RB OF CUENCA INC</t>
  </si>
  <si>
    <t>RB OF DASMARINAS INC</t>
  </si>
  <si>
    <t>RB OF DATU PAGLAS INC</t>
  </si>
  <si>
    <t>RB OF DIGOS INC</t>
  </si>
  <si>
    <t>RB OF DOLORES (QUEZON) INC</t>
  </si>
  <si>
    <t>RB OF DUMANGAS INC</t>
  </si>
  <si>
    <t>RB OF GENERAL TRIAS INC</t>
  </si>
  <si>
    <t>RB OF GINGOOG INC</t>
  </si>
  <si>
    <t>RB OF GOA INC</t>
  </si>
  <si>
    <t>RB OF GUINOBATAN INC</t>
  </si>
  <si>
    <t>RB OF HILONGOS INC</t>
  </si>
  <si>
    <t>RB OF IBAJAY INC</t>
  </si>
  <si>
    <t>RB OF ILIGAN CITY INC</t>
  </si>
  <si>
    <t>RB OF ILOILO CITY INC</t>
  </si>
  <si>
    <t>RB OF INFANTA INC</t>
  </si>
  <si>
    <t>RB OF IROSIN INC</t>
  </si>
  <si>
    <t>RB OF JAEN INC</t>
  </si>
  <si>
    <t>RB OF KAWIT INC</t>
  </si>
  <si>
    <t>RB OF LA TRINIDAD INC</t>
  </si>
  <si>
    <t>RB OF LABRADOR INC</t>
  </si>
  <si>
    <t>RB OF LOBO INC</t>
  </si>
  <si>
    <t>RB OF LUNA (ISABELA) INC</t>
  </si>
  <si>
    <t>RB OF LUNA (K-APAYAO)INC</t>
  </si>
  <si>
    <t>RB OF LUPAO INC</t>
  </si>
  <si>
    <t>RB OF MA-AO INC</t>
  </si>
  <si>
    <t>RB OF MABALACAT INC</t>
  </si>
  <si>
    <t>RB OF MAJAYJAY INC</t>
  </si>
  <si>
    <t>RB OF MALINAO (AKLAN) INC</t>
  </si>
  <si>
    <t>RB OF MALOLOS INC</t>
  </si>
  <si>
    <t>RB OF MAMBUSAO INC</t>
  </si>
  <si>
    <t>RB OF MARAGONDON INC</t>
  </si>
  <si>
    <t>RB OF MARILAG (STA MARIA, LAG)INC</t>
  </si>
  <si>
    <t>RB OF MATI INC</t>
  </si>
  <si>
    <t>RB OF MAUBAN INC</t>
  </si>
  <si>
    <t>RB OF MENDEZ INC</t>
  </si>
  <si>
    <t>RB OF MEXICO INC</t>
  </si>
  <si>
    <t>RB OF MIDSAYAP INC</t>
  </si>
  <si>
    <t>RB OF MONTALBAN INC</t>
  </si>
  <si>
    <t>RB OF NAGCARLAN INC</t>
  </si>
  <si>
    <t>RB OF NAGUILIAN (LA UNION) INC</t>
  </si>
  <si>
    <t>RB OF NAIC INC</t>
  </si>
  <si>
    <t>RB OF NAVAL INC</t>
  </si>
  <si>
    <t>RB OF ODIONGAN INC</t>
  </si>
  <si>
    <t>RB OF PADRE BURGOS (SO LEYTE) INC</t>
  </si>
  <si>
    <t>RB OF PAETE INC</t>
  </si>
  <si>
    <t>RB OF PAGADIAN INC</t>
  </si>
  <si>
    <t>RB OF PAGBILAO INC</t>
  </si>
  <si>
    <t>RB OF PAMPLONA (CAMARINES SUR) INC</t>
  </si>
  <si>
    <t>RB OF PAMPLONA(NEGROS OR) INC</t>
  </si>
  <si>
    <t>RB OF PANAY INC</t>
  </si>
  <si>
    <t>RB OF PILAR (BATAAN) INC</t>
  </si>
  <si>
    <t>RB OF PILAR (SORSOGON) INC</t>
  </si>
  <si>
    <t>RB OF PINAMALAYAN INC</t>
  </si>
  <si>
    <t>RB OF PLARIDEL (BULACAN) INC</t>
  </si>
  <si>
    <t>RB OF PLARIDEL (MISAMIS OCC) INC</t>
  </si>
  <si>
    <t>RB OF POTOTAN INC</t>
  </si>
  <si>
    <t>RB OF POZORRUBIO INC</t>
  </si>
  <si>
    <t>RB OF PURA INC</t>
  </si>
  <si>
    <t>RB OF QUEZON (NUEVA ECIJA) INC</t>
  </si>
  <si>
    <t>RB OF RIZAL (LAGUNA) INC</t>
  </si>
  <si>
    <t>RB OF RIZAL (ZAMBOANGA DEL NORTE)</t>
  </si>
  <si>
    <t>RB OF ROSARIO (LA UNION) INC</t>
  </si>
  <si>
    <t>RB OF ROXAS (OR MINDORO) INC</t>
  </si>
  <si>
    <t>RB OF SALINAS INC</t>
  </si>
  <si>
    <t>RB OF SAN ANTONIO(QUEZON) INC</t>
  </si>
  <si>
    <t>RB OF SAN FERNANDO (C S), INC</t>
  </si>
  <si>
    <t>RB OF SAN FERNANDO (CEBU) INC</t>
  </si>
  <si>
    <t>RB OF SAN JOSE (CAMARINES SUR) INC</t>
  </si>
  <si>
    <t>RB OF SAN JUAN (SO LEYTE) INC</t>
  </si>
  <si>
    <t>RB OF SAN LORENZO RUIZ (SINILOAN)</t>
  </si>
  <si>
    <t>RB OF SAN LUIS (BAT) INC</t>
  </si>
  <si>
    <t>RB OF SAN LUIS (PAMPANGA) INC</t>
  </si>
  <si>
    <t>RB OF SAN MANUEL (ISABELA) INC</t>
  </si>
  <si>
    <t>RB OF SAN MARCELINO INC</t>
  </si>
  <si>
    <t>RB OF SAN MATEO(ISABELA) INC</t>
  </si>
  <si>
    <t>RB OF SAN MIGUEL (ILOILO) INC</t>
  </si>
  <si>
    <t>RB OF SAN NICOLAS (PANGASINAN) INC</t>
  </si>
  <si>
    <t>RB OF SAN QUINTIN INC</t>
  </si>
  <si>
    <t>RB OF SAN RAFAEL (BULACAN) INC</t>
  </si>
  <si>
    <t>RB OF SAPIAN INC</t>
  </si>
  <si>
    <t>RB OF SILAY CITY INC</t>
  </si>
  <si>
    <t>RB OF STA BARBARA (ILOILO) INC</t>
  </si>
  <si>
    <t>RB OF STA MARIA (ILOCOS SUR) INC</t>
  </si>
  <si>
    <t>RB OF STA ROSA (LAGUNA) INC</t>
  </si>
  <si>
    <t>RB OF STO TOMAS(DAVAO N)</t>
  </si>
  <si>
    <t>RB OF TAAL INC</t>
  </si>
  <si>
    <t>RB OF TAGAYTAY CITY INC</t>
  </si>
  <si>
    <t>RB OF TALISAY (BATANGAS) INC</t>
  </si>
  <si>
    <t>RB OF TALISAY (CEBU) INC</t>
  </si>
  <si>
    <t>RB OF TANJAY INC</t>
  </si>
  <si>
    <t>RB OF TAYABAS INC</t>
  </si>
  <si>
    <t>RB OF VALENCIA (BUKIDNON) INC</t>
  </si>
  <si>
    <t>RB OF VICTORIA (OR MINDORO) INC</t>
  </si>
  <si>
    <t>RB OF VICTORIA INC</t>
  </si>
  <si>
    <t>RODRIGUEZ RB INC</t>
  </si>
  <si>
    <t>SALUG VALLEY RB INC</t>
  </si>
  <si>
    <t>SAN BARTOLOME RURAL BANK INC</t>
  </si>
  <si>
    <t>SAN FERNANDO RB INC</t>
  </si>
  <si>
    <t>SAN FRANCISCO DEL MONTE RB INC</t>
  </si>
  <si>
    <t>SARANGANI RURAL BANK INC</t>
  </si>
  <si>
    <t>SAVIOUR RURAL BANK INC</t>
  </si>
  <si>
    <t>SECURED BANK INC (A RB)</t>
  </si>
  <si>
    <t>SMART BANK (RURAL BANK) INC</t>
  </si>
  <si>
    <t>SORSOGON PROVINCIAL COOP BANK</t>
  </si>
  <si>
    <t>SOUTHERN LEYTE COOP BANK</t>
  </si>
  <si>
    <t>SUGBUANON RB INC</t>
  </si>
  <si>
    <t>SUMMIT BANK (RB OF TUBLAY INC)</t>
  </si>
  <si>
    <t>SUMMIT RB OF LIPA CITY INC</t>
  </si>
  <si>
    <t>SURIGAO CITY EVERGREEN RB INC</t>
  </si>
  <si>
    <t>SURIGAONON RURAL BANKING CORP</t>
  </si>
  <si>
    <t>SYNERGY RURAL BANK INC</t>
  </si>
  <si>
    <t>TAMARAW RB INC</t>
  </si>
  <si>
    <t>TANAY RB INC</t>
  </si>
  <si>
    <t>TIAONG RB INC</t>
  </si>
  <si>
    <t>TURUMBA RB OF PAKIL INC</t>
  </si>
  <si>
    <t>UNILINK BANK INC ( A RB)</t>
  </si>
  <si>
    <t>UNITED CONSUMERS RB INC</t>
  </si>
  <si>
    <t>UNITED PEOPLE'S RB INC</t>
  </si>
  <si>
    <t>UNITY BANK (A RB) INC</t>
  </si>
  <si>
    <t>UPLAND RB OF DALAGUETE(CEBU) INC</t>
  </si>
  <si>
    <t>UTILITY BANK INC (A RB)</t>
  </si>
  <si>
    <t>VALIANT RURAL BANK INC</t>
  </si>
  <si>
    <t>VIGAN BANCO RURAL INCORPORADA</t>
  </si>
  <si>
    <t>VIZCAYA BANK A RURAL BANK INC</t>
  </si>
  <si>
    <t>WOMEN'S RURAL BANK INC</t>
  </si>
  <si>
    <t>XAVIER-PUNLA RURAL BANK INC</t>
  </si>
  <si>
    <t>ZAMBOANGA CITY RB INC</t>
  </si>
  <si>
    <t>1ST VALLEY BANK INC (A RB)</t>
  </si>
  <si>
    <t>5 SPEED RURAL BANK INC</t>
  </si>
  <si>
    <t>NEGROS COOPERATIVE BANK</t>
  </si>
  <si>
    <t>COOP BANK OF MISAMIS ORIENTAL</t>
  </si>
  <si>
    <t>FIRST TAGUM RURAL BANK INC</t>
  </si>
  <si>
    <t>BRIDGEWAY RURAL BANKING CORPORATION</t>
  </si>
  <si>
    <t>RACSO'S BANK INC (A RURAL BANK)</t>
  </si>
  <si>
    <t>RB OF MANDAUE INC</t>
  </si>
  <si>
    <t>BAYBANK INC (A RURAL BANK)</t>
  </si>
  <si>
    <t>BANCO CARMONA INC A RURAL BANK</t>
  </si>
  <si>
    <t>BANCO DE AREVALO INC (A RURAL BANK)</t>
  </si>
  <si>
    <t>BANCO SUAL (A RURAL BANK) INC</t>
  </si>
  <si>
    <t>BANGKO MAGSAYSAY (ISABELA) INC-A RB</t>
  </si>
  <si>
    <t>CANTILAN BANK INC (A RURAL BANK)</t>
  </si>
  <si>
    <t>CAPITOL CITY BANK INC A RURAL BANK</t>
  </si>
  <si>
    <t>CARD BANK INC (A MF RB)</t>
  </si>
  <si>
    <t>COOP BANK OF COTABATO</t>
  </si>
  <si>
    <t>COOPERATIVE BANK OF NUEVA VIZCAYA</t>
  </si>
  <si>
    <t>COOPERATIVE BANK OF TARLAC INC</t>
  </si>
  <si>
    <t>COUNTRYSIDE RB OF PALAUIG(ZAMBALES)</t>
  </si>
  <si>
    <t>FIRST PROVINCIAL BANK INC (A RB)</t>
  </si>
  <si>
    <t>INNOVATIVE BANK INC (A RURAL BANK)</t>
  </si>
  <si>
    <t>KORONADAL RURAL BANK INC</t>
  </si>
  <si>
    <t>MASANTOL RURAL BANK INC</t>
  </si>
  <si>
    <t>MT CARMEL RURAL BANK INC</t>
  </si>
  <si>
    <t>MVSM BANK (A RURAL BANK SINCE 1953)</t>
  </si>
  <si>
    <t>NEW COVENANT BANK INC(A RURAL BANK)</t>
  </si>
  <si>
    <t>NEW RURAL BANK OF TAGKAWAYAN INC</t>
  </si>
  <si>
    <t>PARTNER RURAL BANK (COTABATO) INC</t>
  </si>
  <si>
    <t>PHILIPPINE SME BANK INC A RB</t>
  </si>
  <si>
    <t>PROGRESSIVE RURAL BANK INC</t>
  </si>
  <si>
    <t>RB OF PLACER (SURIGAO DEL NORTE)INC</t>
  </si>
  <si>
    <t>RBT BANK INC A RURAL BANK</t>
  </si>
  <si>
    <t>RNG COASTAL BANK INC(A RURAL BANK)</t>
  </si>
  <si>
    <t>RURAL BANK OF LOBOC INC</t>
  </si>
  <si>
    <t>RURAL BANK OF MAASIN (SO LEYTE) INC</t>
  </si>
  <si>
    <t>AURORABANK (A MF-ORIENTED RB) INC</t>
  </si>
  <si>
    <t>1ST MACRO BANK INC (A RURAL BANK)</t>
  </si>
  <si>
    <t>BANCO DE MINDORO INC (A RURAL BANK)</t>
  </si>
  <si>
    <t>BANGKO RURAL NG SAN TEODORO, INC</t>
  </si>
  <si>
    <t>CSFIRST BANK INC - A RURAL BANK</t>
  </si>
  <si>
    <t>D' ASIAN HILLS BANK INC (A RB)</t>
  </si>
  <si>
    <t>FIRST INTEGRITY BNK INC (RB BAILEN)</t>
  </si>
  <si>
    <t>GM BANK OF LUZON INC (A RURAL BANK)</t>
  </si>
  <si>
    <t>RBG IMPERIAL BANK INC(A RURAL BANK)</t>
  </si>
  <si>
    <t>ADVANTAGE BANK CORP (A MF RB)</t>
  </si>
  <si>
    <t>ANILAO BANK (RB ANILAO (ILOILO) INC</t>
  </si>
  <si>
    <t>BANCO ALABANG INC (A RURAL BANK)</t>
  </si>
  <si>
    <t>BANGKO BUENA CONSOLIDATED INC(A RB)</t>
  </si>
  <si>
    <t>FAR EASTERN BANK (A RURAL BANK) INC</t>
  </si>
  <si>
    <t>LAGUNA PRESTIGE BANKING CORP (A RB)</t>
  </si>
  <si>
    <t>OWN BANK THE RB OF CAVITE CITY INC</t>
  </si>
  <si>
    <t>BANCO DIPOLOG INC A RURAL BANK</t>
  </si>
  <si>
    <t>COMMON WEALTH RB INC</t>
  </si>
  <si>
    <t>ONE NETWORK BANK INC (A RB)</t>
  </si>
  <si>
    <t>MISAMIS BANK INC A RURAL BANK</t>
  </si>
  <si>
    <t>RURAL BANK OF RONDA INC</t>
  </si>
  <si>
    <t>BANCO COOPERATIVA DE ZAMBOANGA</t>
  </si>
  <si>
    <t>LIBERTY BANK (A RURAL BANK) INC</t>
  </si>
  <si>
    <t xml:space="preserve">RURAL BANK OF LINGAYEN INC         </t>
  </si>
  <si>
    <t xml:space="preserve">RB OF TALUGTUG (NE) INC            </t>
  </si>
  <si>
    <t xml:space="preserve">VALIANT BANK INC (A RURAL BANK)    </t>
  </si>
  <si>
    <t>BANK OF ORMOC, INC. (A RURAL BANK)</t>
  </si>
  <si>
    <t>PEOPLES BANK OF CARAGA, INC. (A RURAL BANK)</t>
  </si>
  <si>
    <t>COOPERATIVE BANK OF AGUSAN NORTE-BUTUAN CITY</t>
  </si>
  <si>
    <t xml:space="preserve">COOPERATIVE RURAL BANK OF BOHOL    </t>
  </si>
  <si>
    <t>COUNTRYSIDE COOP RB OF BATANGAS</t>
  </si>
  <si>
    <t>CAVITE UNITED RURAL BANK CORP</t>
  </si>
  <si>
    <t>SG BANK - A RURAL BANK INC</t>
  </si>
  <si>
    <t>AGRIBUSINESS RURAL BANK INC</t>
  </si>
  <si>
    <t>AGRICOM RURAL BANK INC</t>
  </si>
  <si>
    <t>ALIAGA FARMERS RURAL BANK INC</t>
  </si>
  <si>
    <t>AMA RURAL BANK OF MANDALUYONG INC</t>
  </si>
  <si>
    <t>ASIAN CONSUMERS BANK INC - A RB</t>
  </si>
  <si>
    <t>BAGONG BANGKO RURAL NG MALABANG (LS</t>
  </si>
  <si>
    <t>COMMTY RB OF DINGRAS (ILOCOS NO)INC</t>
  </si>
  <si>
    <t>MOUNT MAKILING RURAL BANK INC</t>
  </si>
  <si>
    <t>BANCO RURAL DE GEN TINIO (BRGT) INC</t>
  </si>
  <si>
    <t>BANCO RURAL DE ISLA CORDOVA (CEBU)</t>
  </si>
  <si>
    <t>RURAL BANK OF SAN JUAN INC</t>
  </si>
  <si>
    <t>RURAL BANK OF TANZA (CAVITE) INC</t>
  </si>
  <si>
    <t>BANGKO NUESTRA SRA DEL PILAR INC</t>
  </si>
  <si>
    <t>BANGKO RURAL NG PASACAO(CAM SUR)INC</t>
  </si>
  <si>
    <t>BANGKO RURAL NG TAGOLOAN (MIS OR)</t>
  </si>
  <si>
    <t>BANKO ZAMBALENO INC (BZI) (A RB)</t>
  </si>
  <si>
    <t>BANNAWAG BANK INC (A RURAL BANK)</t>
  </si>
  <si>
    <t>BUILDERS' RURAL BANK INC</t>
  </si>
  <si>
    <t>BUKIDNON BANK INC (A RURAL BANK)</t>
  </si>
  <si>
    <t>CENTURY RURAL BANK INC</t>
  </si>
  <si>
    <t>COMMTY RB OF CATMON (CEBU) INC</t>
  </si>
  <si>
    <t>COMMTY RB OF CLARIN (MIS OCC) INC</t>
  </si>
  <si>
    <t>COMMTY RB OF DAPITAN CITY INC</t>
  </si>
  <si>
    <t>COMMTY RB OF MAGALLON (MP NO) INC</t>
  </si>
  <si>
    <t>COMMTY RB OF MAGSAYSAY (DVO DS) INC</t>
  </si>
  <si>
    <t>COMMTY RB OF MEDELLIN (CEBU) INC</t>
  </si>
  <si>
    <t>NAAWAN COMMUNITY RB (MIS OR) INC</t>
  </si>
  <si>
    <t>COMMTY RB OF ROMBLON (ROMBLON) INC</t>
  </si>
  <si>
    <t>COMMTY RB OF SAN FELIPE (ZAMB) INC</t>
  </si>
  <si>
    <t>COMMTY RB OF SAN GABRIEL (LU) INC</t>
  </si>
  <si>
    <t>COMMUNITY BANK (RB OF ALFONSO INC)</t>
  </si>
  <si>
    <t>COOP BANK OF BENGUET (CBB)</t>
  </si>
  <si>
    <t>COOP BANK OF CAGAYAN</t>
  </si>
  <si>
    <t>COOPERATIVE BANK OF LEYTE</t>
  </si>
  <si>
    <t>COOPERATIVE BANK OF ILOCOS NORTE</t>
  </si>
  <si>
    <t>BUKIDNON COOPERATIVE BANK</t>
  </si>
  <si>
    <t>COOP BANK OF DAVAO DEL SUR (CBDS)</t>
  </si>
  <si>
    <t>ZAMBOANGA DEL NORTE COOPERATIVE BNK</t>
  </si>
  <si>
    <t>COOP BANK OF PAMPANGA INC(COOPBANK)</t>
  </si>
  <si>
    <t>CORDILLERA BANK INC (A RURAL BANK)</t>
  </si>
  <si>
    <t>COUNTRY RB OF TAGIG INC</t>
  </si>
  <si>
    <t>RURAL BNK OF SAN JOSE DEL MONTE INC</t>
  </si>
  <si>
    <t>EAST COAST RB OF HAGONOY INC</t>
  </si>
  <si>
    <t>EASTERN RIZAL (JALAJALA) RURAL BANK</t>
  </si>
  <si>
    <t>ENTERPRISE CAPITAL BANK INC(TAG RB)</t>
  </si>
  <si>
    <t>FARM BANK INC (A RURAL BANK)</t>
  </si>
  <si>
    <t>FILIDIAN RURAL BANK OF ANTIPOLO INC</t>
  </si>
  <si>
    <t>FIRST ISABELA COOP BANK INC(FICOBNK</t>
  </si>
  <si>
    <t>FIRST NAGA RURAL BANK INC</t>
  </si>
  <si>
    <t>GREEN BANK INC (A RURAL BANK)</t>
  </si>
  <si>
    <t>HIGHLAND RURAL BANK INC</t>
  </si>
  <si>
    <t>ILOCANDIA COMMUNITY BANK (RB OF PAS</t>
  </si>
  <si>
    <t>KATIPUNAN BANK (ZAMB DN) INC "A RB"</t>
  </si>
  <si>
    <t>LA CONSOLACION RURAL BANK INC</t>
  </si>
  <si>
    <t>MACTAN RURAL BANK (LAPU-LAPU) INC</t>
  </si>
  <si>
    <t>MALLIG PLAINS RURAL BANK (ISABELA)</t>
  </si>
  <si>
    <t>MASAGANA RURAL BANK (G NAT NE) INC</t>
  </si>
  <si>
    <t>MASUWERTE RB OF BACOOR (CAVITE) INC</t>
  </si>
  <si>
    <t>MEGA RURAL BANK (LUCENA CITY) INC</t>
  </si>
  <si>
    <t>FIRST COMMUNITY COOP BANK OF MIS OC</t>
  </si>
  <si>
    <t>MUNICIPAL RB OF LIBMANAN(CAM SUR)IN</t>
  </si>
  <si>
    <t>MUNICIPAL RB OF NABUA (CAM SUR) INC</t>
  </si>
  <si>
    <t>NEW RB OF BINALBAGAN (NEG OCC) INC</t>
  </si>
  <si>
    <t>OCC. MINDORO COOP BANK (OMCB)</t>
  </si>
  <si>
    <t>OR TAMARAW RB OF NAUJAN(OR MDO) INC</t>
  </si>
  <si>
    <t>ORMON BANK(RB OF MULANAY(QUEZON)INC</t>
  </si>
  <si>
    <t>PANGUIL BAY RB OF OZAMIZ INC</t>
  </si>
  <si>
    <t>PENAFRANCIA RB OF CALABANGA (CS)INC</t>
  </si>
  <si>
    <t>PLANBANK "RB OF CANLUBANG PLANTERS</t>
  </si>
  <si>
    <t>PRES JOSE P LAUREL RB (TANAUAN BAT)</t>
  </si>
  <si>
    <t>PROVIDENT RB OF STA CRUZ(LAGUNA)INC</t>
  </si>
  <si>
    <t>RANG-AY BANK INC (A RURAL BANK)</t>
  </si>
  <si>
    <t>RB OF ABUCAY (BATAAN) INC</t>
  </si>
  <si>
    <t>RB OF ALABAT (QUEZON) INC</t>
  </si>
  <si>
    <t>RB OF ALABEL (SARANGANI) INC</t>
  </si>
  <si>
    <t>RB OF ALICIA (ISABELA) INC</t>
  </si>
  <si>
    <t>RB OF ALIMODIAN (ILOILO) INC</t>
  </si>
  <si>
    <t>RB OF ALTAVAS (AKLAN) INC</t>
  </si>
  <si>
    <t>RB OF AMLAN (NEGROS ORIENTAL) INC</t>
  </si>
  <si>
    <t>RB OF ANDA (PANGASINAN) INC</t>
  </si>
  <si>
    <t>RB OF ANGAT (BULACAN) INC</t>
  </si>
  <si>
    <t>RB OF BACO (ORIENTAL MINDORO) INC</t>
  </si>
  <si>
    <t>RB OF BACONG (NEGROS ORIENTAL) INC</t>
  </si>
  <si>
    <t>RB OF BADIANGAN (ILOILO) INC</t>
  </si>
  <si>
    <t>RB OF BAGABAG (N.V.)INC</t>
  </si>
  <si>
    <t>RB OF BAGAC BATAAN INC</t>
  </si>
  <si>
    <t>RB OF BALETE (AKLAN) INC</t>
  </si>
  <si>
    <t>RB OF BALINGASAG (MISAMIS OR) INC</t>
  </si>
  <si>
    <t>RB OF BALUNGAO (PANGASINAN) INC</t>
  </si>
  <si>
    <t>RB OF BAMBANG (NUEVA VIZCAYA) INC</t>
  </si>
  <si>
    <t>RB OF BANAYOYO (ILOCOS SUR) INC</t>
  </si>
  <si>
    <t>RB OF BANGA (AKLAN) INC</t>
  </si>
  <si>
    <t>RB OF BANGAR (LA UNION) INC</t>
  </si>
  <si>
    <t>RB OF BANSUD (ORIENTAL MINDORO) INC</t>
  </si>
  <si>
    <t>RB OF BARILI (CEBU) INC</t>
  </si>
  <si>
    <t>RB OF BAROTAC VIEJO (ILOILO) INC</t>
  </si>
  <si>
    <t>RB OF BASAY (NEGROS ORIENTAL) INC</t>
  </si>
  <si>
    <t>RB OF BASEY (SAMAR) INC</t>
  </si>
  <si>
    <t>RB OF BATO (LEYTE) INC</t>
  </si>
  <si>
    <t>RB OF BAYAMBANG (PANGASINAN) INC</t>
  </si>
  <si>
    <t>RB OF BAYAWAN (NEGROS ORIENTAL) INC</t>
  </si>
  <si>
    <t>RB OF BOGO (CEBU) INC</t>
  </si>
  <si>
    <t>RB OF BOLINAO (PANG) INC</t>
  </si>
  <si>
    <t>RB OF BONIFACIO (MISAMIS OCC) INC</t>
  </si>
  <si>
    <t>RB OF BONTOC (MT PROVINCE) INC</t>
  </si>
  <si>
    <t>RB OF BORONGAN (EASTERN SAMAR) INC</t>
  </si>
  <si>
    <t>RB OF BROOKE'S POINT (PALAWAN) INC</t>
  </si>
  <si>
    <t>RB OF BUCAY (ABRA) INC</t>
  </si>
  <si>
    <t>RB OF BUENAVISTA (AGUSAN DN) INC</t>
  </si>
  <si>
    <t>RB OF BUGASONG (ANTIQUE) INC</t>
  </si>
  <si>
    <t>RB OF BUGUIAS (BENGUET) INC</t>
  </si>
  <si>
    <t>RB OF CABA (LA UNION) INC</t>
  </si>
  <si>
    <t>RB OF CABADBARAN (AGUSAN) INC</t>
  </si>
  <si>
    <t>RB OF CABANGAN (ZAMBALES) INC</t>
  </si>
  <si>
    <t>RB OF CABUGAO (ILOCOS SUR) INC</t>
  </si>
  <si>
    <t>RB OF CALAMBA (LAGUNA) INC</t>
  </si>
  <si>
    <t>RB OF CALINOG (ILOILO) INC</t>
  </si>
  <si>
    <t>RB OF CAMALIG (ALBAY) INC</t>
  </si>
  <si>
    <t>RB OF CANDELARIA INC</t>
  </si>
  <si>
    <t>RB OF CAPALONGA (CAM NORTE) INC</t>
  </si>
  <si>
    <t>RB OF CARDONA (RIZAL) INC</t>
  </si>
  <si>
    <t>RB OF CASIGURAN (AURORA) INC</t>
  </si>
  <si>
    <t>RB OF CATUBIG (NORTHERN SAMAR) INC</t>
  </si>
  <si>
    <t>RB OF CAUAYAN INC</t>
  </si>
  <si>
    <t>RB OF CAVINTI (LAGUNA) INC</t>
  </si>
  <si>
    <t>RB OF CENTRAL PANGASINAN (BAYAMBANG</t>
  </si>
  <si>
    <t>RB OF CLAVERIA (CAGAYAN) INC</t>
  </si>
  <si>
    <t>RB OF COMPOSTELA (DAVAO DN) INC</t>
  </si>
  <si>
    <t>RB OF CUARTERO (CAPIZ) INC</t>
  </si>
  <si>
    <t>RB OF CUYO (PALAWAN) INC</t>
  </si>
  <si>
    <t>RB OF DONA R TRINIDAD (BULACAN) INC</t>
  </si>
  <si>
    <t>RB OF DONSOL (SORSOGON) INC</t>
  </si>
  <si>
    <t>RB OF DULAG (LEYTE) INC</t>
  </si>
  <si>
    <t>RB OF DUPAX (NUEVA VIZCAYA) INC</t>
  </si>
  <si>
    <t>RB OF EL SALVADOR (MISAMIS OR) INC</t>
  </si>
  <si>
    <t>RB OF ESCALANTE (NEGROS OCC) INC</t>
  </si>
  <si>
    <t>RB OF GAINZA (CAMARINES SUR) INC</t>
  </si>
  <si>
    <t>RB OF GALIMUYOD (ILOCOS SUR) INC</t>
  </si>
  <si>
    <t>RB OF GANDARA (SAMAR) INC</t>
  </si>
  <si>
    <t>RB OF GATTARAN (CAGAYAN) INC</t>
  </si>
  <si>
    <t>RB OF GENERAL LUNA (QUEZON) INC</t>
  </si>
  <si>
    <t>RB OF GITAGUM(MISAMIS ORIENTAL) INC</t>
  </si>
  <si>
    <t>RB OF GLORIA (OR MIN) INC</t>
  </si>
  <si>
    <t>RB OF GUIHULNGAN (NEGROS OR) INC</t>
  </si>
  <si>
    <t>RB OF GUIUAN (EASTERN SAMAR) INC</t>
  </si>
  <si>
    <t>RB OF HAGONOY (DAVAO DEL SUR) INC</t>
  </si>
  <si>
    <t>RB OF HERMOSA (BATAAN) INC</t>
  </si>
  <si>
    <t>RB OF HINDANG (LEYTE) INC</t>
  </si>
  <si>
    <t>RB OF HINUNDAYAN (SO LEYTE) INC</t>
  </si>
  <si>
    <t>RB OF ILOG (NEGROS OCCIDENTAL) INC</t>
  </si>
  <si>
    <t>RB OF INITAO (MISAMIS ORIENTAL) INC</t>
  </si>
  <si>
    <t>RB OF ITOGON (BENGUET) INC</t>
  </si>
  <si>
    <t>RB OF JAMINDAN (CAPIZ) INC</t>
  </si>
  <si>
    <t>RB OF JAVIER (LEYTE) INC</t>
  </si>
  <si>
    <t>RB OF JIMENEZ (MISAMIS OCC) INC</t>
  </si>
  <si>
    <t>RB OF JOSE PANGANIBAN(CAM NORTE)INC</t>
  </si>
  <si>
    <t>RB OF KABASALAN (ZAMB DS) INC</t>
  </si>
  <si>
    <t>RB OF KAPALONG (DAVAO) INC</t>
  </si>
  <si>
    <t>RB OF KAROMATAN (LANAO DN) INC</t>
  </si>
  <si>
    <t>RB OF KIAMBA (SARANGANI) INC</t>
  </si>
  <si>
    <t>RB OF KIBAWE (BUKIDNON) INC</t>
  </si>
  <si>
    <t>RB OF KINOGITAN (MISAMIS OR) INC</t>
  </si>
  <si>
    <t>RB OF LA PAZ INC</t>
  </si>
  <si>
    <t>RB OF LABASON (ZAMBOANGA DN) INC</t>
  </si>
  <si>
    <t>RB OF LANUZA (SURIGAO DEL SUR) INC</t>
  </si>
  <si>
    <t>RB OF LARENA (SIQUIJOR) INC</t>
  </si>
  <si>
    <t>RB OF LEBAK (SULTAN KUDARAT) INC</t>
  </si>
  <si>
    <t>RB OF LEGANES (ILOILO) INC</t>
  </si>
  <si>
    <t>RB OF LEMERY INC</t>
  </si>
  <si>
    <t>RB OF LILOY (ZAMBOANGA DN) INC</t>
  </si>
  <si>
    <t>RB OF LIMAY (BATAAN) INC</t>
  </si>
  <si>
    <t>RB OF LIPA CITY (BATANGAS) INC</t>
  </si>
  <si>
    <t>RB OF LOON (BOHOL) INC</t>
  </si>
  <si>
    <t>RB OF LOPEZ JAENA (MISAMIS OCC) INC</t>
  </si>
  <si>
    <t>RB OF LORETO(SURIGAO DEL NORTE) INC</t>
  </si>
  <si>
    <t>RB OF LUCBAN (QUEZON) INC</t>
  </si>
  <si>
    <t>RB OF LUISIANA (LAGUNA) INC</t>
  </si>
  <si>
    <t>RB OF LUMBAN (LAGUNA) INC</t>
  </si>
  <si>
    <t>RB OF MABITAC (LAGUNA) INC</t>
  </si>
  <si>
    <t>RB OF MADDELA (QUIRINO) INC</t>
  </si>
  <si>
    <t>RB OF MADRIDEJOS (CEBU) INC</t>
  </si>
  <si>
    <t>RB OF MAGDALENA (LAGUNA) INC</t>
  </si>
  <si>
    <t>RB OF MAGSINGAL (ILOCOS SUR) INC</t>
  </si>
  <si>
    <t>RB OF MAHAPLAG (LEYTE) INC</t>
  </si>
  <si>
    <t>RB OF MAIGO (LANAO DEL NORTE) INC</t>
  </si>
  <si>
    <t>RB OF MAKATO (AKLAN) INC</t>
  </si>
  <si>
    <t>RB OF MALITBOG (SOUTHERN LEYTE) INC</t>
  </si>
  <si>
    <t>RB OF MANAPLA (NEG OCC) INC</t>
  </si>
  <si>
    <t>RB OF MANGALDAN INC(BANGKO RURAL NG</t>
  </si>
  <si>
    <t>RB OF MANOLO FORTICH BUKIDNON INC</t>
  </si>
  <si>
    <t>RB OF MANUKAN (ZAMBOANGA DN) INC</t>
  </si>
  <si>
    <t>RB OF MARIA AURORA (QUEZON) INC</t>
  </si>
  <si>
    <t>RB OF MATAG-OB (LEYTE) INC</t>
  </si>
  <si>
    <t>RB OF MEDINA (MISAMIS ORIENTAL) INC</t>
  </si>
  <si>
    <t>RB OF MIAGAO (ILOILO) INC</t>
  </si>
  <si>
    <t>RB OF M'LANG (COTABATO) INC</t>
  </si>
  <si>
    <t>RB OF MONTEVISTA (DAVAO DN) INC</t>
  </si>
  <si>
    <t>RB OF NABUNTURAN (DAVAO DN) INC</t>
  </si>
  <si>
    <t>RB OF NEW WASHINGTON (AKLAN) INC</t>
  </si>
  <si>
    <t>RB OF NORALA (S COTABATO) INC</t>
  </si>
  <si>
    <t>RB OF OCAMPO (CAMARINES SUR) INC</t>
  </si>
  <si>
    <t>RB OF OROQUIETA (MIS OCC) INC</t>
  </si>
  <si>
    <t>RB OF OSLOB (CEBU) INC</t>
  </si>
  <si>
    <t>RB OF OTON (ILOILO) INC</t>
  </si>
  <si>
    <t>RB OF PANA-ON (MIS OCC) INC</t>
  </si>
  <si>
    <t>RB OF PANDI (BULACAN) INC</t>
  </si>
  <si>
    <t>RB OF PANGIL (LAGUNA) INC</t>
  </si>
  <si>
    <t>RB OF PARACALE(CAMARINES NORTE) INC</t>
  </si>
  <si>
    <t>RB OF PAVIA (ILOILO) INC</t>
  </si>
  <si>
    <t>RB OF POLA (ORIENTAL MINDORO) INC</t>
  </si>
  <si>
    <t>RB OF POLOMOLOK(SOUTH COTABATO) INC</t>
  </si>
  <si>
    <t>RB OF PORAC (PAMPANGA) INC</t>
  </si>
  <si>
    <t>RB OF PRES MANUEL A ROXAS (Z DN)INC</t>
  </si>
  <si>
    <t>RB OF PRES QUIRINO (S KUDARAT) INC</t>
  </si>
  <si>
    <t>RB OF PUERTO GALERA (OR MINDORO)INC</t>
  </si>
  <si>
    <t>RB OF RAGAY (CAMARINES SUR) INC</t>
  </si>
  <si>
    <t>RB OF RAMON (ISABELA) INC</t>
  </si>
  <si>
    <t>RB OF REINA MERCEDES (ISABELA) INC</t>
  </si>
  <si>
    <t>RB OF RIZAL (KALINGA-APAYAO)INC</t>
  </si>
  <si>
    <t>RB OF SAGADA(MOUNTAIN PROVINCE)INC</t>
  </si>
  <si>
    <t>RB OF SAGAY INC</t>
  </si>
  <si>
    <t>RB OF SALCEDO (ILOCOS SUR) INC</t>
  </si>
  <si>
    <t>RB OF SALUG(ZAMBOANGA DEL NORTE)INC</t>
  </si>
  <si>
    <t>RB OF SAMPALOC (QUEZON) INC</t>
  </si>
  <si>
    <t>RB OF SAN AGUSTIN (ISABELA) INC</t>
  </si>
  <si>
    <t>RB OF SAN ENRIQUE (ILOILO) INC</t>
  </si>
  <si>
    <t>RB OF SAN FABIAN (PANGASINAN) INC</t>
  </si>
  <si>
    <t>RB OF SAN JACINTO (MASBATE) INC</t>
  </si>
  <si>
    <t>RB OF SAN NARCISO INC</t>
  </si>
  <si>
    <t>RB OF SAN PASCUAL(OBANDO BUL) INC</t>
  </si>
  <si>
    <t>RB OF SAN VICENTE (CAM NORTE) INC</t>
  </si>
  <si>
    <t>RB OF SANCHEZ MIRA (CAGAYAN) INC</t>
  </si>
  <si>
    <t>BANCO SANTIAGO DE LIBON INC</t>
  </si>
  <si>
    <t>RB OF SASMUAN (PAMPANGA) INC</t>
  </si>
  <si>
    <t>RB OF SEVEN LAKES (SAN PABLO) INC</t>
  </si>
  <si>
    <t>RB OF SIATON (SIATON NEGROS OR) INC</t>
  </si>
  <si>
    <t>RB OF SIBALOM (ANTIQUE) INC</t>
  </si>
  <si>
    <t>RB OF SIBULAN NEGROS ORIENTAL INC</t>
  </si>
  <si>
    <t>RB OF SIOCON (ZAMBOANGA DN) INC</t>
  </si>
  <si>
    <t>RB OF SIPOCOT (CAMARINES SUR) INC</t>
  </si>
  <si>
    <t>RB OF SOCORRO (ORIENTAL MINDORO)INC</t>
  </si>
  <si>
    <t>RB OF SOLANO (NUEVA VIZCAYA) INC</t>
  </si>
  <si>
    <t>RB OF STA CATALINA NEGROS OR INC</t>
  </si>
  <si>
    <t>RB OF STA ELENA (CAMS NORTE) INC</t>
  </si>
  <si>
    <t>RB OF SANTA FE (ROMBLON) INC</t>
  </si>
  <si>
    <t>RB OF STA IGNACIA INC</t>
  </si>
  <si>
    <t>RB OF STA MAGDALENA (SORSOGON) INC</t>
  </si>
  <si>
    <t>RB OF STA ROSA DE LIMA (PANIQUI)INC</t>
  </si>
  <si>
    <t>RB OF SUDIPEN (LA UNION) INC</t>
  </si>
  <si>
    <t>RB OF TABUK (KALINGA_APAYAO) INC</t>
  </si>
  <si>
    <t>RB OF TAFT (EASTERN SAMAR) INC</t>
  </si>
  <si>
    <t>TALISAY RURAL BANK INC</t>
  </si>
  <si>
    <t>RB OF TANDAG (SURIGAO DEL SUR) INC</t>
  </si>
  <si>
    <t>RB OF TANGUB CITY (MIS OCC) INC</t>
  </si>
  <si>
    <t>RB OF TAYSAN (BATANGAS) INC</t>
  </si>
  <si>
    <t>RB OF TERESA (RIZAL) INC</t>
  </si>
  <si>
    <t>RB OF TIBIAO (ANTIQUE) INC</t>
  </si>
  <si>
    <t>RB OF TIGAON CAMARINES SUR INC</t>
  </si>
  <si>
    <t>RB OF TIGBAUAN (ILOILO) INC</t>
  </si>
  <si>
    <t>RB OF TUMAUINI (ISABELA) INC</t>
  </si>
  <si>
    <t>RB OF VILLAVERDE (NUEVA VIZCAYA)INC</t>
  </si>
  <si>
    <t>RB OF VILLAVICIOSA (ABRA) INC</t>
  </si>
  <si>
    <t>RB OF ZARRAGA (ILOILO) INC</t>
  </si>
  <si>
    <t>RIZAL RURAL BANK (TAYTAY RIZAL)</t>
  </si>
  <si>
    <t>SADIRI RURAL BANK (SJ ILOCOS S) INC</t>
  </si>
  <si>
    <t>MEYCAUAYAN SECOND RURAL BANK INC</t>
  </si>
  <si>
    <t>SECOND RB OF SAN LUIS PAMPANGA INC</t>
  </si>
  <si>
    <t>SECOND RB OF VALENZUELA (MM) INC</t>
  </si>
  <si>
    <t>SIAM BANK (A RURAL BANK) INC</t>
  </si>
  <si>
    <t>SIARGAO BANK (A RURAL BANK) INC</t>
  </si>
  <si>
    <t>SILAHIS BANK INC (A RURAL BANK)</t>
  </si>
  <si>
    <t>SOUTH BANK (A RURAL BANK) INC</t>
  </si>
  <si>
    <t>SOUTHEAST COUNTRY BANK INC (A RB)</t>
  </si>
  <si>
    <t>ST MICHAEL RB OF TARLAC (TARLAC)INC</t>
  </si>
  <si>
    <t>STA MARIA RURAL BANK INC</t>
  </si>
  <si>
    <t>STO NINO RURAL BANK(TERNATE CAV)INC</t>
  </si>
  <si>
    <t>STO ROSARIO RURAL BANK INC</t>
  </si>
  <si>
    <t>SUNRISE RURAL BANK (ROSARIO BAT)INC</t>
  </si>
  <si>
    <t>RB OF BONGABONG (OR MINDORO) INC</t>
  </si>
  <si>
    <t>XAVIER TIBOD BANK INC (A MFRB)</t>
  </si>
  <si>
    <t>BANK OF LUBAO (A RURAL BANK) INC</t>
  </si>
  <si>
    <t>BANCO LAGUNA INC (A RB SINCE 1965)</t>
  </si>
  <si>
    <t>TOWNCALL RURAL BANK INC</t>
  </si>
  <si>
    <t>UNIVERSAL RB OF LOPEZ (QUEZON) INC</t>
  </si>
  <si>
    <t>VISIONBANK INC A RURAL BANK</t>
  </si>
  <si>
    <t>ZAMBALES RURAL BANK INC</t>
  </si>
  <si>
    <t>COCE</t>
  </si>
  <si>
    <t>CONSOLIDATED COOPERATIVE BANK</t>
  </si>
  <si>
    <t>RB OF PADRE GARCIA INC</t>
  </si>
  <si>
    <t>AGRICULTURAL BANK OF THE PHIL INC</t>
  </si>
  <si>
    <t>CARITAS BANCO NG MASA INC (A MFRB)</t>
  </si>
  <si>
    <t>COUNTRY BUILDERS BANK INC (A RB)</t>
  </si>
  <si>
    <t>BANCO DE CALAMBA INC (A RURAL BANK)</t>
  </si>
  <si>
    <t>RB OF STO DOMINGO (NUEVA ECIJA) INC</t>
  </si>
  <si>
    <t>BANKWAYS INC (A RURAL BANK)</t>
  </si>
  <si>
    <t>EAST WEST RURAL BANK INC</t>
  </si>
  <si>
    <t>PALM TREE BANK INC (A RURAL BANK)</t>
  </si>
  <si>
    <t>MARAYO BANK INC (A RURAL BANK)</t>
  </si>
  <si>
    <t>BANGKO NOVELETA INC A RURAL BANK</t>
  </si>
  <si>
    <t>LIFEBANK- A RURAL BANK</t>
  </si>
  <si>
    <t>B.</t>
  </si>
  <si>
    <t>105200000000620000</t>
  </si>
  <si>
    <t>Cash Segregated For Customer Brokering Services</t>
  </si>
  <si>
    <t>105100001000600000</t>
  </si>
  <si>
    <t>Special Reserve Bank Account for Securities Brokers</t>
  </si>
  <si>
    <t>v12.1</t>
  </si>
  <si>
    <t>NEW RURAL BANK OF SAN LEONARDO INC.</t>
  </si>
  <si>
    <t>4</t>
  </si>
  <si>
    <t>006056</t>
  </si>
  <si>
    <t>8888</t>
  </si>
  <si>
    <t>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</si>
</sst>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_);\(0\)"/>
    <numFmt numFmtId="165" formatCode="00000#"/>
    <numFmt numFmtId="173" formatCode="0\-00\-00\-00\-000\-00\-0\-0\-0\-0\-0\-0"/>
  </numFmts>
  <fonts count="15" x14ac:knownFonts="1"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40"/>
      <name val="Arial"/>
      <family val="2"/>
    </font>
    <font>
      <sz val="7"/>
      <color indexed="10"/>
      <name val="Arial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b/>
      <sz val="10"/>
      <name val="Arial"/>
      <family val="2"/>
    </font>
    <font>
      <sz val="10"/>
      <color indexed="48"/>
      <name val="Arial"/>
      <family val="2"/>
    </font>
    <font>
      <b/>
      <sz val="8"/>
      <name val="Arial Narrow"/>
      <family val="2"/>
    </font>
    <font>
      <sz val="8"/>
      <name val="Arial Narrow"/>
      <family val="2"/>
    </font>
    <font>
      <sz val="8"/>
      <color indexed="9"/>
      <name val="Arial Narrow"/>
      <family val="2"/>
    </font>
    <font>
      <sz val="8"/>
      <color indexed="55"/>
      <name val="Arial"/>
      <family val="2"/>
    </font>
    <font>
      <sz val="10"/>
      <color indexed="1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5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22">
    <xf numFmtId="0" fontId="0" fillId="0" borderId="0" xfId="0"/>
    <xf numFmtId="0" fontId="3" fillId="0" borderId="0" xfId="0" applyFont="1" applyFill="1"/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 wrapText="1"/>
    </xf>
    <xf numFmtId="0" fontId="3" fillId="0" borderId="0" xfId="0" applyFont="1" applyFill="1" applyAlignment="1">
      <alignment vertical="top"/>
    </xf>
    <xf numFmtId="173" fontId="3" fillId="0" borderId="1" xfId="0" applyNumberFormat="1" applyFont="1" applyFill="1" applyBorder="1" applyAlignment="1">
      <alignment horizontal="center" vertical="top"/>
    </xf>
    <xf numFmtId="49" fontId="5" fillId="0" borderId="0" xfId="0" applyNumberFormat="1" applyFont="1" applyFill="1"/>
    <xf numFmtId="0" fontId="3" fillId="0" borderId="0" xfId="0" applyFont="1" applyFill="1" applyAlignment="1">
      <alignment horizontal="center"/>
    </xf>
    <xf numFmtId="0" fontId="6" fillId="0" borderId="0" xfId="0" applyFont="1" applyFill="1"/>
    <xf numFmtId="49" fontId="3" fillId="0" borderId="0" xfId="0" applyNumberFormat="1" applyFont="1" applyFill="1"/>
    <xf numFmtId="0" fontId="3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horizontal="center" vertical="center"/>
    </xf>
    <xf numFmtId="4" fontId="7" fillId="0" borderId="1" xfId="0" applyNumberFormat="1" applyFont="1" applyFill="1" applyBorder="1" applyAlignment="1" applyProtection="1">
      <alignment vertical="top"/>
      <protection hidden="1"/>
    </xf>
    <xf numFmtId="0" fontId="6" fillId="0" borderId="0" xfId="0" applyFont="1" applyFill="1" applyAlignment="1">
      <alignment horizontal="center"/>
    </xf>
    <xf numFmtId="49" fontId="0" fillId="2" borderId="0" xfId="0" applyNumberFormat="1" applyFill="1"/>
    <xf numFmtId="0" fontId="0" fillId="2" borderId="0" xfId="0" applyFill="1"/>
    <xf numFmtId="0" fontId="9" fillId="2" borderId="0" xfId="0" applyFont="1" applyFill="1"/>
    <xf numFmtId="4" fontId="3" fillId="0" borderId="1" xfId="0" applyNumberFormat="1" applyFont="1" applyFill="1" applyBorder="1" applyAlignment="1" applyProtection="1">
      <alignment vertical="top"/>
      <protection locked="0"/>
    </xf>
    <xf numFmtId="0" fontId="11" fillId="0" borderId="0" xfId="0" applyFont="1"/>
    <xf numFmtId="0" fontId="11" fillId="0" borderId="0" xfId="0" applyFont="1" applyFill="1"/>
    <xf numFmtId="0" fontId="11" fillId="0" borderId="0" xfId="0" applyFont="1" applyAlignment="1">
      <alignment vertical="center" wrapText="1"/>
    </xf>
    <xf numFmtId="0" fontId="11" fillId="0" borderId="0" xfId="0" applyFont="1" applyAlignment="1">
      <alignment vertical="top"/>
    </xf>
    <xf numFmtId="0" fontId="11" fillId="0" borderId="0" xfId="0" applyFont="1" applyFill="1" applyAlignment="1">
      <alignment vertical="top"/>
    </xf>
    <xf numFmtId="0" fontId="12" fillId="0" borderId="0" xfId="0" applyFont="1" applyAlignment="1">
      <alignment horizontal="center" vertical="top"/>
    </xf>
    <xf numFmtId="0" fontId="11" fillId="0" borderId="0" xfId="0" applyFont="1" applyAlignment="1">
      <alignment horizontal="center" vertical="top"/>
    </xf>
    <xf numFmtId="0" fontId="1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horizontal="center"/>
    </xf>
    <xf numFmtId="4" fontId="1" fillId="0" borderId="0" xfId="0" applyNumberFormat="1" applyFont="1" applyProtection="1">
      <protection hidden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4" fontId="7" fillId="0" borderId="1" xfId="0" applyNumberFormat="1" applyFont="1" applyBorder="1" applyAlignment="1" applyProtection="1">
      <alignment vertical="top"/>
      <protection hidden="1"/>
    </xf>
    <xf numFmtId="165" fontId="3" fillId="0" borderId="1" xfId="0" applyNumberFormat="1" applyFont="1" applyBorder="1" applyAlignment="1">
      <alignment horizontal="center" vertical="top"/>
    </xf>
    <xf numFmtId="165" fontId="3" fillId="0" borderId="1" xfId="0" applyNumberFormat="1" applyFont="1" applyFill="1" applyBorder="1" applyAlignment="1">
      <alignment horizontal="center" vertical="top"/>
    </xf>
    <xf numFmtId="4" fontId="3" fillId="0" borderId="1" xfId="0" applyNumberFormat="1" applyFont="1" applyBorder="1" applyAlignment="1" applyProtection="1">
      <alignment vertical="top"/>
      <protection locked="0"/>
    </xf>
    <xf numFmtId="4" fontId="7" fillId="0" borderId="1" xfId="0" applyNumberFormat="1" applyFont="1" applyBorder="1" applyAlignment="1" applyProtection="1">
      <alignment vertical="top"/>
    </xf>
    <xf numFmtId="4" fontId="7" fillId="0" borderId="1" xfId="0" applyNumberFormat="1" applyFont="1" applyFill="1" applyBorder="1" applyAlignment="1" applyProtection="1">
      <alignment vertical="top"/>
    </xf>
    <xf numFmtId="4" fontId="7" fillId="3" borderId="1" xfId="0" applyNumberFormat="1" applyFont="1" applyFill="1" applyBorder="1" applyAlignment="1" applyProtection="1">
      <alignment vertical="top"/>
    </xf>
    <xf numFmtId="4" fontId="3" fillId="3" borderId="1" xfId="0" applyNumberFormat="1" applyFont="1" applyFill="1" applyBorder="1" applyAlignment="1" applyProtection="1">
      <alignment vertical="top"/>
    </xf>
    <xf numFmtId="4" fontId="3" fillId="0" borderId="1" xfId="0" applyNumberFormat="1" applyFont="1" applyBorder="1" applyAlignment="1" applyProtection="1">
      <alignment vertical="top"/>
    </xf>
    <xf numFmtId="4" fontId="3" fillId="0" borderId="1" xfId="0" applyNumberFormat="1" applyFont="1" applyFill="1" applyBorder="1" applyAlignment="1" applyProtection="1">
      <alignment vertical="top"/>
    </xf>
    <xf numFmtId="4" fontId="4" fillId="3" borderId="1" xfId="0" applyNumberFormat="1" applyFont="1" applyFill="1" applyBorder="1" applyAlignment="1" applyProtection="1">
      <alignment vertical="top"/>
    </xf>
    <xf numFmtId="4" fontId="7" fillId="3" borderId="1" xfId="0" applyNumberFormat="1" applyFont="1" applyFill="1" applyBorder="1" applyAlignment="1" applyProtection="1">
      <alignment vertical="top"/>
      <protection hidden="1"/>
    </xf>
    <xf numFmtId="4" fontId="3" fillId="3" borderId="1" xfId="0" applyNumberFormat="1" applyFont="1" applyFill="1" applyBorder="1" applyAlignment="1" applyProtection="1">
      <alignment vertical="top"/>
      <protection hidden="1"/>
    </xf>
    <xf numFmtId="4" fontId="13" fillId="3" borderId="1" xfId="0" applyNumberFormat="1" applyFont="1" applyFill="1" applyBorder="1" applyAlignment="1" applyProtection="1">
      <alignment vertical="top"/>
      <protection hidden="1"/>
    </xf>
    <xf numFmtId="4" fontId="13" fillId="3" borderId="1" xfId="0" applyNumberFormat="1" applyFont="1" applyFill="1" applyBorder="1" applyAlignment="1" applyProtection="1">
      <alignment vertical="top"/>
    </xf>
    <xf numFmtId="49" fontId="14" fillId="2" borderId="0" xfId="0" applyNumberFormat="1" applyFont="1" applyFill="1" applyProtection="1">
      <protection locked="0"/>
    </xf>
    <xf numFmtId="0" fontId="14" fillId="2" borderId="0" xfId="0" applyFont="1" applyFill="1" applyProtection="1">
      <protection locked="0"/>
    </xf>
    <xf numFmtId="0" fontId="14" fillId="2" borderId="0" xfId="0" applyFont="1" applyFill="1"/>
    <xf numFmtId="1" fontId="14" fillId="2" borderId="0" xfId="0" applyNumberFormat="1" applyFont="1" applyFill="1"/>
    <xf numFmtId="0" fontId="2" fillId="0" borderId="1" xfId="0" applyFont="1" applyFill="1" applyBorder="1" applyAlignment="1" applyProtection="1">
      <alignment vertical="top"/>
      <protection hidden="1"/>
    </xf>
    <xf numFmtId="0" fontId="3" fillId="0" borderId="1" xfId="0" applyFont="1" applyFill="1" applyBorder="1" applyAlignment="1" applyProtection="1">
      <alignment vertical="top"/>
      <protection hidden="1"/>
    </xf>
    <xf numFmtId="49" fontId="3" fillId="0" borderId="1" xfId="0" quotePrefix="1" applyNumberFormat="1" applyFont="1" applyFill="1" applyBorder="1" applyAlignment="1" applyProtection="1">
      <alignment horizontal="center" vertical="top"/>
      <protection hidden="1"/>
    </xf>
    <xf numFmtId="49" fontId="3" fillId="0" borderId="1" xfId="0" quotePrefix="1" applyNumberFormat="1" applyFont="1" applyFill="1" applyBorder="1" applyAlignment="1" applyProtection="1">
      <alignment vertical="top"/>
      <protection hidden="1"/>
    </xf>
    <xf numFmtId="49" fontId="3" fillId="0" borderId="1" xfId="0" applyNumberFormat="1" applyFont="1" applyFill="1" applyBorder="1" applyAlignment="1" applyProtection="1">
      <alignment vertical="top"/>
      <protection hidden="1"/>
    </xf>
    <xf numFmtId="164" fontId="3" fillId="0" borderId="1" xfId="0" applyNumberFormat="1" applyFont="1" applyFill="1" applyBorder="1" applyAlignment="1" applyProtection="1">
      <alignment vertical="top"/>
      <protection hidden="1"/>
    </xf>
    <xf numFmtId="49" fontId="2" fillId="0" borderId="1" xfId="0" applyNumberFormat="1" applyFont="1" applyFill="1" applyBorder="1" applyAlignment="1" applyProtection="1">
      <alignment vertical="top"/>
      <protection hidden="1"/>
    </xf>
    <xf numFmtId="49" fontId="3" fillId="0" borderId="1" xfId="0" applyNumberFormat="1" applyFont="1" applyFill="1" applyBorder="1" applyAlignment="1" applyProtection="1">
      <alignment horizontal="center" vertical="top"/>
      <protection hidden="1"/>
    </xf>
    <xf numFmtId="0" fontId="3" fillId="0" borderId="1" xfId="0" quotePrefix="1" applyFont="1" applyBorder="1" applyAlignment="1" applyProtection="1">
      <alignment vertical="top"/>
      <protection hidden="1"/>
    </xf>
    <xf numFmtId="0" fontId="3" fillId="0" borderId="1" xfId="0" applyFont="1" applyBorder="1" applyAlignment="1" applyProtection="1">
      <alignment vertical="top"/>
      <protection hidden="1"/>
    </xf>
    <xf numFmtId="49" fontId="3" fillId="0" borderId="1" xfId="0" quotePrefix="1" applyNumberFormat="1" applyFont="1" applyBorder="1" applyAlignment="1" applyProtection="1">
      <alignment horizontal="center" vertical="top"/>
      <protection hidden="1"/>
    </xf>
    <xf numFmtId="0" fontId="3" fillId="0" borderId="1" xfId="0" quotePrefix="1" applyFont="1" applyFill="1" applyBorder="1" applyAlignment="1" applyProtection="1">
      <alignment vertical="top"/>
      <protection hidden="1"/>
    </xf>
    <xf numFmtId="0" fontId="3" fillId="0" borderId="1" xfId="0" quotePrefix="1" applyFont="1" applyBorder="1" applyAlignment="1" applyProtection="1">
      <alignment vertical="top" wrapText="1"/>
      <protection hidden="1"/>
    </xf>
    <xf numFmtId="0" fontId="2" fillId="0" borderId="1" xfId="0" applyFont="1" applyBorder="1" applyAlignment="1" applyProtection="1">
      <alignment vertical="top"/>
      <protection hidden="1"/>
    </xf>
    <xf numFmtId="49" fontId="3" fillId="0" borderId="1" xfId="0" applyNumberFormat="1" applyFont="1" applyBorder="1" applyAlignment="1" applyProtection="1">
      <alignment horizontal="center" vertical="top"/>
      <protection hidden="1"/>
    </xf>
    <xf numFmtId="165" fontId="1" fillId="0" borderId="1" xfId="0" applyNumberFormat="1" applyFont="1" applyBorder="1" applyAlignment="1">
      <alignment horizontal="center" vertical="top"/>
    </xf>
    <xf numFmtId="4" fontId="1" fillId="0" borderId="1" xfId="0" applyNumberFormat="1" applyFont="1" applyFill="1" applyBorder="1" applyAlignment="1" applyProtection="1">
      <alignment vertical="top"/>
      <protection locked="0"/>
    </xf>
    <xf numFmtId="173" fontId="1" fillId="0" borderId="1" xfId="0" applyNumberFormat="1" applyFont="1" applyFill="1" applyBorder="1" applyAlignment="1">
      <alignment horizontal="center" vertical="top"/>
    </xf>
    <xf numFmtId="49" fontId="2" fillId="0" borderId="0" xfId="0" applyNumberFormat="1" applyFont="1" applyFill="1" applyAlignment="1">
      <alignment horizontal="center" vertical="center"/>
    </xf>
    <xf numFmtId="0" fontId="2" fillId="0" borderId="7" xfId="0" applyFont="1" applyFill="1" applyBorder="1" applyAlignment="1" applyProtection="1">
      <alignment horizontal="center" vertical="center"/>
      <protection hidden="1"/>
    </xf>
    <xf numFmtId="0" fontId="2" fillId="0" borderId="8" xfId="0" applyFont="1" applyFill="1" applyBorder="1" applyAlignment="1" applyProtection="1">
      <alignment horizontal="center" vertical="center"/>
      <protection hidden="1"/>
    </xf>
    <xf numFmtId="0" fontId="2" fillId="0" borderId="9" xfId="0" applyFont="1" applyFill="1" applyBorder="1" applyAlignment="1" applyProtection="1">
      <alignment horizontal="center" vertical="center"/>
      <protection hidden="1"/>
    </xf>
    <xf numFmtId="0" fontId="2" fillId="0" borderId="10" xfId="0" applyFont="1" applyFill="1" applyBorder="1" applyAlignment="1" applyProtection="1">
      <alignment horizontal="center" vertical="center"/>
      <protection hidden="1"/>
    </xf>
    <xf numFmtId="0" fontId="2" fillId="0" borderId="11" xfId="0" applyFont="1" applyFill="1" applyBorder="1" applyAlignment="1" applyProtection="1">
      <alignment horizontal="center" vertical="center"/>
      <protection hidden="1"/>
    </xf>
    <xf numFmtId="0" fontId="2" fillId="0" borderId="2" xfId="0" applyFont="1" applyFill="1" applyBorder="1" applyAlignment="1" applyProtection="1">
      <alignment horizontal="center" vertical="center"/>
      <protection hidden="1"/>
    </xf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2" fillId="0" borderId="5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5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49" fontId="3" fillId="0" borderId="5" xfId="0" quotePrefix="1" applyNumberFormat="1" applyFont="1" applyFill="1" applyBorder="1" applyAlignment="1" applyProtection="1">
      <alignment vertical="top" wrapText="1"/>
      <protection hidden="1"/>
    </xf>
    <xf numFmtId="49" fontId="3" fillId="0" borderId="6" xfId="0" quotePrefix="1" applyNumberFormat="1" applyFont="1" applyFill="1" applyBorder="1" applyAlignment="1" applyProtection="1">
      <alignment vertical="top" wrapText="1"/>
      <protection hidden="1"/>
    </xf>
    <xf numFmtId="49" fontId="8" fillId="0" borderId="0" xfId="0" applyNumberFormat="1" applyFont="1" applyFill="1" applyAlignment="1">
      <alignment horizontal="left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 vertical="center" wrapText="1"/>
      <protection hidden="1"/>
    </xf>
    <xf numFmtId="0" fontId="2" fillId="0" borderId="4" xfId="0" applyFont="1" applyFill="1" applyBorder="1" applyAlignment="1" applyProtection="1">
      <alignment horizontal="center" vertical="center"/>
      <protection hidden="1"/>
    </xf>
    <xf numFmtId="0" fontId="10" fillId="0" borderId="0" xfId="0" applyFont="1" applyAlignment="1">
      <alignment horizontal="center"/>
    </xf>
    <xf numFmtId="0" fontId="8" fillId="0" borderId="0" xfId="0" applyFont="1" applyFill="1" applyAlignment="1">
      <alignment horizontal="left"/>
    </xf>
    <xf numFmtId="0" fontId="10" fillId="0" borderId="0" xfId="0" applyFont="1" applyFill="1" applyAlignment="1">
      <alignment horizontal="center"/>
    </xf>
    <xf numFmtId="0" fontId="10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12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3" fillId="0" borderId="1" xfId="0" applyFont="1" applyBorder="1" applyAlignment="1" applyProtection="1">
      <alignment horizontal="left" vertical="top" wrapText="1"/>
      <protection hidden="1"/>
    </xf>
    <xf numFmtId="0" fontId="2" fillId="0" borderId="7" xfId="0" applyFont="1" applyBorder="1" applyAlignment="1" applyProtection="1">
      <alignment horizontal="center" vertical="center" wrapText="1"/>
      <protection hidden="1"/>
    </xf>
    <xf numFmtId="0" fontId="2" fillId="0" borderId="8" xfId="0" applyFont="1" applyBorder="1" applyAlignment="1" applyProtection="1">
      <alignment horizontal="center" vertical="center" wrapText="1"/>
      <protection hidden="1"/>
    </xf>
    <xf numFmtId="0" fontId="2" fillId="0" borderId="9" xfId="0" applyFont="1" applyBorder="1" applyAlignment="1" applyProtection="1">
      <alignment horizontal="center" vertical="center" wrapText="1"/>
      <protection hidden="1"/>
    </xf>
    <xf numFmtId="0" fontId="2" fillId="0" borderId="14" xfId="0" applyFont="1" applyBorder="1" applyAlignment="1" applyProtection="1">
      <alignment horizontal="center" vertical="center" wrapText="1"/>
      <protection hidden="1"/>
    </xf>
    <xf numFmtId="0" fontId="2" fillId="0" borderId="0" xfId="0" applyFont="1" applyBorder="1" applyAlignment="1" applyProtection="1">
      <alignment horizontal="center" vertical="center" wrapText="1"/>
      <protection hidden="1"/>
    </xf>
    <xf numFmtId="0" fontId="2" fillId="0" borderId="15" xfId="0" applyFont="1" applyBorder="1" applyAlignment="1" applyProtection="1">
      <alignment horizontal="center" vertical="center" wrapText="1"/>
      <protection hidden="1"/>
    </xf>
    <xf numFmtId="0" fontId="2" fillId="0" borderId="10" xfId="0" applyFont="1" applyBorder="1" applyAlignment="1" applyProtection="1">
      <alignment horizontal="center" vertical="center" wrapText="1"/>
      <protection hidden="1"/>
    </xf>
    <xf numFmtId="0" fontId="2" fillId="0" borderId="11" xfId="0" applyFont="1" applyBorder="1" applyAlignment="1" applyProtection="1">
      <alignment horizontal="center" vertical="center" wrapText="1"/>
      <protection hidden="1"/>
    </xf>
    <xf numFmtId="0" fontId="2" fillId="0" borderId="2" xfId="0" applyFont="1" applyBorder="1" applyAlignment="1" applyProtection="1">
      <alignment horizontal="center" vertical="center" wrapText="1"/>
      <protection hidden="1"/>
    </xf>
    <xf numFmtId="0" fontId="2" fillId="0" borderId="1" xfId="0" applyFont="1" applyBorder="1" applyAlignment="1" applyProtection="1">
      <alignment horizontal="center" vertical="center" wrapText="1"/>
      <protection hidden="1"/>
    </xf>
    <xf numFmtId="0" fontId="2" fillId="0" borderId="10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1" fillId="0" borderId="5" xfId="0" quotePrefix="1" applyFont="1" applyBorder="1" applyAlignment="1" applyProtection="1">
      <alignment vertical="top" wrapText="1"/>
      <protection hidden="1"/>
    </xf>
    <xf numFmtId="0" fontId="0" fillId="0" borderId="6" xfId="0" applyBorder="1" applyAlignment="1">
      <alignment vertical="top" wrapText="1"/>
    </xf>
    <xf numFmtId="0" fontId="2" fillId="0" borderId="13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32"/>
  <sheetViews>
    <sheetView zoomScale="85" zoomScaleNormal="100" zoomScaleSheetLayoutView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P1"/>
    </sheetView>
  </sheetViews>
  <sheetFormatPr defaultRowHeight="11.25" x14ac:dyDescent="0.2"/>
  <cols>
    <col min="1" max="1" width="3" style="9" customWidth="1"/>
    <col min="2" max="2" width="3.7109375" style="1" customWidth="1"/>
    <col min="3" max="3" width="30.85546875" style="1" customWidth="1"/>
    <col min="4" max="4" width="0.140625" style="1" hidden="1" customWidth="1"/>
    <col min="5" max="5" width="3.28515625" style="1" hidden="1" customWidth="1"/>
    <col min="6" max="6" width="17.42578125" style="1" hidden="1" customWidth="1"/>
    <col min="7" max="7" width="16.7109375" style="7" bestFit="1" customWidth="1"/>
    <col min="8" max="8" width="22.85546875" style="7" hidden="1" customWidth="1"/>
    <col min="9" max="13" width="17.7109375" style="1" customWidth="1"/>
    <col min="14" max="15" width="17.7109375" style="1" hidden="1" customWidth="1"/>
    <col min="16" max="16" width="17.7109375" style="1" customWidth="1"/>
    <col min="17" max="16384" width="9.140625" style="1"/>
  </cols>
  <sheetData>
    <row r="1" spans="1:16" ht="12.75" x14ac:dyDescent="0.2">
      <c r="A1" s="87" t="s">
        <v>0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</row>
    <row r="2" spans="1:16" hidden="1" x14ac:dyDescent="0.2">
      <c r="A2" s="7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</row>
    <row r="3" spans="1:16" hidden="1" x14ac:dyDescent="0.2">
      <c r="A3" s="72"/>
      <c r="B3" s="72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</row>
    <row r="4" spans="1:16" hidden="1" x14ac:dyDescent="0.2">
      <c r="A4" s="72"/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</row>
    <row r="5" spans="1:16" hidden="1" x14ac:dyDescent="0.2">
      <c r="A5" s="72"/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</row>
    <row r="6" spans="1:16" hidden="1" x14ac:dyDescent="0.2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</row>
    <row r="7" spans="1:16" x14ac:dyDescent="0.2">
      <c r="A7" s="72"/>
      <c r="B7" s="72"/>
      <c r="C7" s="72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</row>
    <row r="8" spans="1:16" x14ac:dyDescent="0.2">
      <c r="A8" s="73" t="s">
        <v>1</v>
      </c>
      <c r="B8" s="74"/>
      <c r="C8" s="74"/>
      <c r="D8" s="74"/>
      <c r="E8" s="74"/>
      <c r="F8" s="75"/>
      <c r="G8" s="89" t="s">
        <v>2</v>
      </c>
      <c r="H8" s="10"/>
      <c r="I8" s="79" t="s">
        <v>3</v>
      </c>
      <c r="J8" s="81" t="s">
        <v>4</v>
      </c>
      <c r="K8" s="82"/>
      <c r="L8" s="83" t="s">
        <v>5</v>
      </c>
      <c r="M8" s="84"/>
      <c r="N8" s="88" t="s">
        <v>46</v>
      </c>
      <c r="O8" s="88"/>
      <c r="P8" s="79" t="s">
        <v>6</v>
      </c>
    </row>
    <row r="9" spans="1:16" x14ac:dyDescent="0.2">
      <c r="A9" s="76"/>
      <c r="B9" s="77"/>
      <c r="C9" s="77"/>
      <c r="D9" s="77"/>
      <c r="E9" s="77"/>
      <c r="F9" s="78"/>
      <c r="G9" s="90"/>
      <c r="H9" s="11"/>
      <c r="I9" s="80"/>
      <c r="J9" s="2" t="s">
        <v>7</v>
      </c>
      <c r="K9" s="3" t="s">
        <v>8</v>
      </c>
      <c r="L9" s="2" t="s">
        <v>7</v>
      </c>
      <c r="M9" s="3" t="s">
        <v>8</v>
      </c>
      <c r="N9" s="11" t="s">
        <v>7</v>
      </c>
      <c r="O9" s="3" t="s">
        <v>8</v>
      </c>
      <c r="P9" s="80"/>
    </row>
    <row r="10" spans="1:16" s="4" customFormat="1" x14ac:dyDescent="0.2">
      <c r="A10" s="54" t="s">
        <v>9</v>
      </c>
      <c r="B10" s="55"/>
      <c r="C10" s="55"/>
      <c r="D10" s="55"/>
      <c r="E10" s="55"/>
      <c r="F10" s="55"/>
      <c r="G10" s="56" t="s">
        <v>25</v>
      </c>
      <c r="H10" s="5"/>
      <c r="I10" s="12">
        <f t="shared" ref="I10:O10" si="0">I11 + I12 + I13</f>
        <v>0</v>
      </c>
      <c r="J10" s="12">
        <f t="shared" si="0"/>
        <v>0</v>
      </c>
      <c r="K10" s="12">
        <f t="shared" si="0"/>
        <v>0</v>
      </c>
      <c r="L10" s="48">
        <f t="shared" si="0"/>
        <v>0</v>
      </c>
      <c r="M10" s="48">
        <f t="shared" si="0"/>
        <v>0</v>
      </c>
      <c r="N10" s="12">
        <f t="shared" si="0"/>
        <v>0</v>
      </c>
      <c r="O10" s="12">
        <f t="shared" si="0"/>
        <v>0</v>
      </c>
      <c r="P10" s="12">
        <f>I10+K10+M10+O10</f>
        <v>0</v>
      </c>
    </row>
    <row r="11" spans="1:16" s="4" customFormat="1" x14ac:dyDescent="0.2">
      <c r="A11" s="57" t="s">
        <v>10</v>
      </c>
      <c r="B11" s="55" t="s">
        <v>72</v>
      </c>
      <c r="C11" s="55"/>
      <c r="D11" s="55"/>
      <c r="E11" s="55"/>
      <c r="F11" s="55"/>
      <c r="G11" s="56" t="s">
        <v>26</v>
      </c>
      <c r="H11" s="5"/>
      <c r="I11" s="17"/>
      <c r="J11" s="17"/>
      <c r="K11" s="17"/>
      <c r="L11" s="49"/>
      <c r="M11" s="49"/>
      <c r="N11" s="17"/>
      <c r="O11" s="17"/>
      <c r="P11" s="12">
        <f t="shared" ref="P11:P23" si="1">I11+K11+M11+O11</f>
        <v>0</v>
      </c>
    </row>
    <row r="12" spans="1:16" s="4" customFormat="1" x14ac:dyDescent="0.2">
      <c r="A12" s="57" t="s">
        <v>11</v>
      </c>
      <c r="B12" s="55" t="s">
        <v>12</v>
      </c>
      <c r="C12" s="55"/>
      <c r="D12" s="55"/>
      <c r="E12" s="55"/>
      <c r="F12" s="55"/>
      <c r="G12" s="56" t="s">
        <v>27</v>
      </c>
      <c r="H12" s="5"/>
      <c r="I12" s="17"/>
      <c r="J12" s="17"/>
      <c r="K12" s="17"/>
      <c r="L12" s="49"/>
      <c r="M12" s="49"/>
      <c r="N12" s="17"/>
      <c r="O12" s="17"/>
      <c r="P12" s="12">
        <f t="shared" si="1"/>
        <v>0</v>
      </c>
    </row>
    <row r="13" spans="1:16" s="4" customFormat="1" x14ac:dyDescent="0.2">
      <c r="A13" s="57" t="s">
        <v>13</v>
      </c>
      <c r="B13" s="55" t="s">
        <v>14</v>
      </c>
      <c r="C13" s="55"/>
      <c r="D13" s="55"/>
      <c r="E13" s="55"/>
      <c r="F13" s="55"/>
      <c r="G13" s="56" t="s">
        <v>28</v>
      </c>
      <c r="H13" s="5"/>
      <c r="I13" s="40">
        <f t="shared" ref="I13:O13" si="2">I14 + I15</f>
        <v>0</v>
      </c>
      <c r="J13" s="40">
        <f t="shared" si="2"/>
        <v>0</v>
      </c>
      <c r="K13" s="40">
        <f t="shared" si="2"/>
        <v>0</v>
      </c>
      <c r="L13" s="49">
        <f t="shared" si="2"/>
        <v>0</v>
      </c>
      <c r="M13" s="49">
        <f t="shared" si="2"/>
        <v>0</v>
      </c>
      <c r="N13" s="40">
        <f t="shared" si="2"/>
        <v>0</v>
      </c>
      <c r="O13" s="40">
        <f t="shared" si="2"/>
        <v>0</v>
      </c>
      <c r="P13" s="12">
        <f t="shared" si="1"/>
        <v>0</v>
      </c>
    </row>
    <row r="14" spans="1:16" s="4" customFormat="1" x14ac:dyDescent="0.2">
      <c r="A14" s="57"/>
      <c r="B14" s="55" t="s">
        <v>15</v>
      </c>
      <c r="C14" s="55" t="s">
        <v>16</v>
      </c>
      <c r="D14" s="55"/>
      <c r="E14" s="55"/>
      <c r="F14" s="55"/>
      <c r="G14" s="56" t="s">
        <v>29</v>
      </c>
      <c r="H14" s="5"/>
      <c r="I14" s="17"/>
      <c r="J14" s="17"/>
      <c r="K14" s="17"/>
      <c r="L14" s="49"/>
      <c r="M14" s="49"/>
      <c r="N14" s="17"/>
      <c r="O14" s="17"/>
      <c r="P14" s="12">
        <f t="shared" si="1"/>
        <v>0</v>
      </c>
    </row>
    <row r="15" spans="1:16" s="4" customFormat="1" x14ac:dyDescent="0.2">
      <c r="A15" s="58"/>
      <c r="B15" s="55" t="s">
        <v>17</v>
      </c>
      <c r="C15" s="59" t="s">
        <v>18</v>
      </c>
      <c r="D15" s="55"/>
      <c r="E15" s="55"/>
      <c r="F15" s="55"/>
      <c r="G15" s="56" t="s">
        <v>30</v>
      </c>
      <c r="H15" s="5"/>
      <c r="I15" s="17"/>
      <c r="J15" s="17"/>
      <c r="K15" s="17"/>
      <c r="L15" s="49"/>
      <c r="M15" s="49"/>
      <c r="N15" s="17"/>
      <c r="O15" s="17"/>
      <c r="P15" s="12">
        <f t="shared" si="1"/>
        <v>0</v>
      </c>
    </row>
    <row r="16" spans="1:16" s="4" customFormat="1" x14ac:dyDescent="0.2">
      <c r="A16" s="60" t="s">
        <v>19</v>
      </c>
      <c r="B16" s="55"/>
      <c r="C16" s="59"/>
      <c r="D16" s="55"/>
      <c r="E16" s="55"/>
      <c r="F16" s="55"/>
      <c r="G16" s="56" t="s">
        <v>31</v>
      </c>
      <c r="H16" s="5"/>
      <c r="I16" s="41"/>
      <c r="J16" s="49">
        <f t="shared" ref="J16:O16" si="3">J17 + J18</f>
        <v>0</v>
      </c>
      <c r="K16" s="49">
        <f t="shared" si="3"/>
        <v>0</v>
      </c>
      <c r="L16" s="49">
        <f t="shared" si="3"/>
        <v>0</v>
      </c>
      <c r="M16" s="49">
        <f t="shared" si="3"/>
        <v>0</v>
      </c>
      <c r="N16" s="40">
        <f t="shared" si="3"/>
        <v>0</v>
      </c>
      <c r="O16" s="40">
        <f t="shared" si="3"/>
        <v>0</v>
      </c>
      <c r="P16" s="48">
        <f t="shared" si="1"/>
        <v>0</v>
      </c>
    </row>
    <row r="17" spans="1:16" s="4" customFormat="1" x14ac:dyDescent="0.2">
      <c r="A17" s="57" t="s">
        <v>10</v>
      </c>
      <c r="B17" s="55" t="s">
        <v>20</v>
      </c>
      <c r="C17" s="59"/>
      <c r="D17" s="55"/>
      <c r="E17" s="55"/>
      <c r="F17" s="55"/>
      <c r="G17" s="56" t="s">
        <v>32</v>
      </c>
      <c r="H17" s="5"/>
      <c r="I17" s="45"/>
      <c r="J17" s="49"/>
      <c r="K17" s="49"/>
      <c r="L17" s="49"/>
      <c r="M17" s="49"/>
      <c r="N17" s="17"/>
      <c r="O17" s="17"/>
      <c r="P17" s="48">
        <f t="shared" si="1"/>
        <v>0</v>
      </c>
    </row>
    <row r="18" spans="1:16" s="4" customFormat="1" x14ac:dyDescent="0.2">
      <c r="A18" s="57" t="s">
        <v>11</v>
      </c>
      <c r="B18" s="55" t="s">
        <v>14</v>
      </c>
      <c r="C18" s="59"/>
      <c r="D18" s="55"/>
      <c r="E18" s="55"/>
      <c r="F18" s="55"/>
      <c r="G18" s="56" t="s">
        <v>33</v>
      </c>
      <c r="H18" s="5"/>
      <c r="I18" s="41"/>
      <c r="J18" s="49">
        <f t="shared" ref="J18:O18" si="4">J19 + J20</f>
        <v>0</v>
      </c>
      <c r="K18" s="49">
        <f t="shared" si="4"/>
        <v>0</v>
      </c>
      <c r="L18" s="49">
        <f t="shared" si="4"/>
        <v>0</v>
      </c>
      <c r="M18" s="49">
        <f t="shared" si="4"/>
        <v>0</v>
      </c>
      <c r="N18" s="40">
        <f t="shared" si="4"/>
        <v>0</v>
      </c>
      <c r="O18" s="40">
        <f t="shared" si="4"/>
        <v>0</v>
      </c>
      <c r="P18" s="48">
        <f t="shared" si="1"/>
        <v>0</v>
      </c>
    </row>
    <row r="19" spans="1:16" s="4" customFormat="1" x14ac:dyDescent="0.2">
      <c r="A19" s="58"/>
      <c r="B19" s="55" t="s">
        <v>15</v>
      </c>
      <c r="C19" s="59" t="s">
        <v>21</v>
      </c>
      <c r="D19" s="55"/>
      <c r="E19" s="55"/>
      <c r="F19" s="55"/>
      <c r="G19" s="56" t="s">
        <v>34</v>
      </c>
      <c r="H19" s="5"/>
      <c r="I19" s="45"/>
      <c r="J19" s="49"/>
      <c r="K19" s="49"/>
      <c r="L19" s="49"/>
      <c r="M19" s="49"/>
      <c r="N19" s="17"/>
      <c r="O19" s="17"/>
      <c r="P19" s="48">
        <f t="shared" si="1"/>
        <v>0</v>
      </c>
    </row>
    <row r="20" spans="1:16" s="4" customFormat="1" x14ac:dyDescent="0.2">
      <c r="A20" s="58"/>
      <c r="B20" s="55" t="s">
        <v>17</v>
      </c>
      <c r="C20" s="59" t="s">
        <v>18</v>
      </c>
      <c r="D20" s="55"/>
      <c r="E20" s="55"/>
      <c r="F20" s="55"/>
      <c r="G20" s="56" t="s">
        <v>35</v>
      </c>
      <c r="H20" s="5"/>
      <c r="I20" s="45"/>
      <c r="J20" s="49"/>
      <c r="K20" s="49"/>
      <c r="L20" s="49"/>
      <c r="M20" s="49"/>
      <c r="N20" s="17"/>
      <c r="O20" s="17"/>
      <c r="P20" s="48">
        <f t="shared" si="1"/>
        <v>0</v>
      </c>
    </row>
    <row r="21" spans="1:16" s="4" customFormat="1" x14ac:dyDescent="0.2">
      <c r="A21" s="60" t="s">
        <v>73</v>
      </c>
      <c r="B21" s="55"/>
      <c r="C21" s="55"/>
      <c r="D21" s="55"/>
      <c r="E21" s="55"/>
      <c r="F21" s="55"/>
      <c r="G21" s="56" t="s">
        <v>36</v>
      </c>
      <c r="H21" s="5"/>
      <c r="I21" s="40">
        <f t="shared" ref="I21:O21" si="5">I10 + I16</f>
        <v>0</v>
      </c>
      <c r="J21" s="40">
        <f t="shared" si="5"/>
        <v>0</v>
      </c>
      <c r="K21" s="40">
        <f t="shared" si="5"/>
        <v>0</v>
      </c>
      <c r="L21" s="49">
        <f t="shared" si="5"/>
        <v>0</v>
      </c>
      <c r="M21" s="49">
        <f t="shared" si="5"/>
        <v>0</v>
      </c>
      <c r="N21" s="40">
        <f t="shared" si="5"/>
        <v>0</v>
      </c>
      <c r="O21" s="40">
        <f t="shared" si="5"/>
        <v>0</v>
      </c>
      <c r="P21" s="12">
        <f t="shared" si="1"/>
        <v>0</v>
      </c>
    </row>
    <row r="22" spans="1:16" s="4" customFormat="1" x14ac:dyDescent="0.2">
      <c r="A22" s="60" t="s">
        <v>22</v>
      </c>
      <c r="B22" s="55"/>
      <c r="C22" s="59"/>
      <c r="D22" s="55"/>
      <c r="E22" s="55"/>
      <c r="F22" s="55"/>
      <c r="G22" s="61"/>
      <c r="H22" s="5"/>
      <c r="I22" s="44"/>
      <c r="J22" s="44"/>
      <c r="K22" s="44"/>
      <c r="L22" s="44"/>
      <c r="M22" s="44"/>
      <c r="N22" s="44"/>
      <c r="O22" s="44"/>
      <c r="P22" s="12"/>
    </row>
    <row r="23" spans="1:16" s="4" customFormat="1" x14ac:dyDescent="0.2">
      <c r="A23" s="57" t="s">
        <v>10</v>
      </c>
      <c r="B23" s="55" t="s">
        <v>23</v>
      </c>
      <c r="C23" s="59"/>
      <c r="D23" s="55"/>
      <c r="E23" s="55"/>
      <c r="F23" s="55"/>
      <c r="G23" s="56" t="s">
        <v>37</v>
      </c>
      <c r="H23" s="5"/>
      <c r="I23" s="17"/>
      <c r="J23" s="42"/>
      <c r="K23" s="42"/>
      <c r="L23" s="42"/>
      <c r="M23" s="42"/>
      <c r="N23" s="17"/>
      <c r="O23" s="17"/>
      <c r="P23" s="12">
        <f t="shared" si="1"/>
        <v>0</v>
      </c>
    </row>
    <row r="24" spans="1:16" ht="27" customHeight="1" x14ac:dyDescent="0.2">
      <c r="A24" s="57" t="s">
        <v>11</v>
      </c>
      <c r="B24" s="85" t="s">
        <v>702</v>
      </c>
      <c r="C24" s="86"/>
      <c r="D24" s="57"/>
      <c r="E24" s="57"/>
      <c r="F24" s="57"/>
      <c r="G24" s="56" t="s">
        <v>703</v>
      </c>
      <c r="H24" s="71"/>
      <c r="I24" s="17"/>
      <c r="J24" s="17"/>
      <c r="K24" s="17"/>
      <c r="L24" s="42"/>
      <c r="M24" s="42"/>
      <c r="N24" s="70"/>
      <c r="O24" s="70"/>
      <c r="P24" s="12">
        <f>I24+K24+M24+O24</f>
        <v>0</v>
      </c>
    </row>
    <row r="25" spans="1:16" x14ac:dyDescent="0.2">
      <c r="A25" s="6"/>
      <c r="G25" s="13" t="s">
        <v>38</v>
      </c>
    </row>
    <row r="129" spans="6:6" x14ac:dyDescent="0.2">
      <c r="F129" s="8" t="s">
        <v>24</v>
      </c>
    </row>
    <row r="130" spans="6:6" x14ac:dyDescent="0.2">
      <c r="F130" s="8"/>
    </row>
    <row r="131" spans="6:6" x14ac:dyDescent="0.2">
      <c r="F131" s="8"/>
    </row>
    <row r="132" spans="6:6" x14ac:dyDescent="0.2">
      <c r="F132" s="8" t="s">
        <v>24</v>
      </c>
    </row>
  </sheetData>
  <sheetProtection sheet="1" objects="1" scenarios="1" selectLockedCells="1"/>
  <mergeCells count="15">
    <mergeCell ref="B24:C24"/>
    <mergeCell ref="A1:P1"/>
    <mergeCell ref="N8:O8"/>
    <mergeCell ref="P8:P9"/>
    <mergeCell ref="G8:G9"/>
    <mergeCell ref="A2:P2"/>
    <mergeCell ref="A7:P7"/>
    <mergeCell ref="A3:P3"/>
    <mergeCell ref="A8:F9"/>
    <mergeCell ref="I8:I9"/>
    <mergeCell ref="J8:K8"/>
    <mergeCell ref="L8:M8"/>
    <mergeCell ref="A4:P4"/>
    <mergeCell ref="A5:P5"/>
    <mergeCell ref="A6:P6"/>
  </mergeCells>
  <phoneticPr fontId="1" type="noConversion"/>
  <dataValidations count="2">
    <dataValidation allowBlank="1" showInputMessage="1" showErrorMessage="1" sqref="AI24"/>
    <dataValidation type="decimal" operator="greaterThanOrEqual" allowBlank="1" showInputMessage="1" showErrorMessage="1" errorTitle="Invalid entry!" error="Accepts greater than or equal to zero only." sqref="I10:P23 I24:O24">
      <formula1>0</formula1>
    </dataValidation>
  </dataValidations>
  <printOptions horizontalCentered="1"/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1_x000D_&amp;U &amp;"Arial,Bold" &amp;P &amp;"Arial,Regular"of &amp;"Arial,Bold"&amp;N&amp;C&amp;"Arial,Bold"&amp;8 NEW RURAL BANK OF SAN LEONARDO INC.  [ 04-006056 ]
 As of: June 30, 2016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O30"/>
  <sheetViews>
    <sheetView zoomScale="75" zoomScaleNormal="100" zoomScaleSheetLayoutView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X1"/>
    </sheetView>
  </sheetViews>
  <sheetFormatPr defaultRowHeight="12.75" x14ac:dyDescent="0.25"/>
  <cols>
    <col min="1" max="1" width="3.140625" style="18" customWidth="1"/>
    <col min="2" max="2" width="3.85546875" style="18" customWidth="1"/>
    <col min="3" max="3" width="30" style="18" customWidth="1"/>
    <col min="4" max="5" width="0.140625" style="18" hidden="1" customWidth="1"/>
    <col min="6" max="6" width="1.7109375" style="18" hidden="1" customWidth="1"/>
    <col min="7" max="7" width="18" style="27" customWidth="1"/>
    <col min="8" max="8" width="1" style="27" hidden="1" customWidth="1"/>
    <col min="9" max="13" width="17.7109375" style="25" customWidth="1"/>
    <col min="14" max="15" width="17.7109375" style="25" hidden="1" customWidth="1"/>
    <col min="16" max="21" width="17.7109375" style="25" customWidth="1"/>
    <col min="22" max="23" width="17.7109375" style="25" hidden="1" customWidth="1"/>
    <col min="24" max="29" width="17.7109375" style="25" customWidth="1"/>
    <col min="30" max="31" width="17.7109375" style="25" hidden="1" customWidth="1"/>
    <col min="32" max="37" width="17.7109375" style="25" customWidth="1"/>
    <col min="38" max="39" width="17.7109375" style="25" hidden="1" customWidth="1"/>
    <col min="40" max="41" width="17.7109375" style="25" customWidth="1"/>
    <col min="42" max="16384" width="9.140625" style="18"/>
  </cols>
  <sheetData>
    <row r="1" spans="1:41" ht="13.5" x14ac:dyDescent="0.25">
      <c r="A1" s="92" t="s">
        <v>40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3"/>
      <c r="AK1" s="93"/>
      <c r="AL1" s="93"/>
      <c r="AM1" s="93"/>
      <c r="AN1" s="93"/>
      <c r="AO1" s="93"/>
    </row>
    <row r="2" spans="1:41" ht="13.5" x14ac:dyDescent="0.25">
      <c r="A2" s="92" t="s">
        <v>41</v>
      </c>
      <c r="B2" s="92"/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  <c r="Y2" s="93"/>
      <c r="Z2" s="93"/>
      <c r="AA2" s="93"/>
      <c r="AB2" s="93"/>
      <c r="AC2" s="93"/>
      <c r="AD2" s="93"/>
      <c r="AE2" s="93"/>
      <c r="AF2" s="93"/>
      <c r="AG2" s="93"/>
      <c r="AH2" s="93"/>
      <c r="AI2" s="93"/>
      <c r="AJ2" s="93"/>
      <c r="AK2" s="93"/>
      <c r="AL2" s="93"/>
      <c r="AM2" s="93"/>
      <c r="AN2" s="93"/>
      <c r="AO2" s="93"/>
    </row>
    <row r="3" spans="1:41" hidden="1" x14ac:dyDescent="0.25">
      <c r="A3" s="91"/>
      <c r="B3" s="91"/>
      <c r="C3" s="91"/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1"/>
      <c r="AL3" s="91"/>
      <c r="AM3" s="91"/>
      <c r="AN3" s="91"/>
      <c r="AO3" s="91"/>
    </row>
    <row r="4" spans="1:41" s="19" customFormat="1" hidden="1" x14ac:dyDescent="0.25">
      <c r="A4" s="91"/>
      <c r="B4" s="91"/>
      <c r="C4" s="91"/>
      <c r="D4" s="91"/>
      <c r="E4" s="91"/>
      <c r="F4" s="91"/>
      <c r="G4" s="91"/>
      <c r="H4" s="91"/>
      <c r="I4" s="91"/>
      <c r="J4" s="91"/>
      <c r="K4" s="91"/>
      <c r="L4" s="91"/>
      <c r="M4" s="91"/>
      <c r="N4" s="91"/>
      <c r="O4" s="91"/>
      <c r="P4" s="91"/>
      <c r="Q4" s="91"/>
      <c r="R4" s="91"/>
      <c r="S4" s="91"/>
      <c r="T4" s="91"/>
      <c r="U4" s="91"/>
      <c r="V4" s="91"/>
      <c r="W4" s="91"/>
      <c r="X4" s="91"/>
      <c r="Y4" s="91"/>
      <c r="Z4" s="91"/>
      <c r="AA4" s="91"/>
      <c r="AB4" s="91"/>
      <c r="AC4" s="91"/>
      <c r="AD4" s="91"/>
      <c r="AE4" s="91"/>
      <c r="AF4" s="91"/>
      <c r="AG4" s="91"/>
      <c r="AH4" s="91"/>
      <c r="AI4" s="91"/>
      <c r="AJ4" s="91"/>
      <c r="AK4" s="91"/>
      <c r="AL4" s="91"/>
      <c r="AM4" s="91"/>
      <c r="AN4" s="91"/>
      <c r="AO4" s="91"/>
    </row>
    <row r="5" spans="1:41" hidden="1" x14ac:dyDescent="0.25">
      <c r="A5" s="91"/>
      <c r="B5" s="91"/>
      <c r="C5" s="91"/>
      <c r="D5" s="91"/>
      <c r="E5" s="91"/>
      <c r="F5" s="91"/>
      <c r="G5" s="91"/>
      <c r="H5" s="91"/>
      <c r="I5" s="91"/>
      <c r="J5" s="91"/>
      <c r="K5" s="91"/>
      <c r="L5" s="91"/>
      <c r="M5" s="91"/>
      <c r="N5" s="91"/>
      <c r="O5" s="91"/>
      <c r="P5" s="91"/>
      <c r="Q5" s="91"/>
      <c r="R5" s="91"/>
      <c r="S5" s="91"/>
      <c r="T5" s="91"/>
      <c r="U5" s="91"/>
      <c r="V5" s="91"/>
      <c r="W5" s="91"/>
      <c r="X5" s="91"/>
      <c r="Y5" s="91"/>
      <c r="Z5" s="91"/>
      <c r="AA5" s="91"/>
      <c r="AB5" s="91"/>
      <c r="AC5" s="91"/>
      <c r="AD5" s="91"/>
      <c r="AE5" s="91"/>
      <c r="AF5" s="91"/>
      <c r="AG5" s="91"/>
      <c r="AH5" s="91"/>
      <c r="AI5" s="91"/>
      <c r="AJ5" s="91"/>
      <c r="AK5" s="91"/>
      <c r="AL5" s="91"/>
      <c r="AM5" s="91"/>
      <c r="AN5" s="91"/>
      <c r="AO5" s="91"/>
    </row>
    <row r="6" spans="1:41" x14ac:dyDescent="0.25">
      <c r="A6" s="94"/>
      <c r="B6" s="94"/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94"/>
      <c r="R6" s="94"/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  <c r="AI6" s="94"/>
      <c r="AJ6" s="18"/>
      <c r="AK6" s="18"/>
      <c r="AL6" s="18"/>
      <c r="AM6" s="18"/>
      <c r="AN6" s="18"/>
      <c r="AO6" s="18"/>
    </row>
    <row r="7" spans="1:41" s="20" customFormat="1" x14ac:dyDescent="0.2">
      <c r="A7" s="104" t="s">
        <v>1</v>
      </c>
      <c r="B7" s="105"/>
      <c r="C7" s="105"/>
      <c r="D7" s="105"/>
      <c r="E7" s="105"/>
      <c r="F7" s="106"/>
      <c r="G7" s="113" t="s">
        <v>2</v>
      </c>
      <c r="H7" s="31"/>
      <c r="I7" s="83" t="s">
        <v>42</v>
      </c>
      <c r="J7" s="97"/>
      <c r="K7" s="97"/>
      <c r="L7" s="97"/>
      <c r="M7" s="97"/>
      <c r="N7" s="97"/>
      <c r="O7" s="97"/>
      <c r="P7" s="84"/>
      <c r="Q7" s="98" t="s">
        <v>43</v>
      </c>
      <c r="R7" s="99"/>
      <c r="S7" s="99"/>
      <c r="T7" s="99"/>
      <c r="U7" s="99"/>
      <c r="V7" s="99"/>
      <c r="W7" s="99"/>
      <c r="X7" s="100"/>
      <c r="Y7" s="83" t="s">
        <v>44</v>
      </c>
      <c r="Z7" s="97"/>
      <c r="AA7" s="97"/>
      <c r="AB7" s="97"/>
      <c r="AC7" s="97"/>
      <c r="AD7" s="97"/>
      <c r="AE7" s="97"/>
      <c r="AF7" s="84"/>
      <c r="AG7" s="83" t="s">
        <v>45</v>
      </c>
      <c r="AH7" s="97"/>
      <c r="AI7" s="97"/>
      <c r="AJ7" s="97"/>
      <c r="AK7" s="97"/>
      <c r="AL7" s="97"/>
      <c r="AM7" s="97"/>
      <c r="AN7" s="84"/>
      <c r="AO7" s="101" t="s">
        <v>6</v>
      </c>
    </row>
    <row r="8" spans="1:41" s="20" customFormat="1" ht="21.75" customHeight="1" x14ac:dyDescent="0.2">
      <c r="A8" s="107"/>
      <c r="B8" s="108"/>
      <c r="C8" s="108"/>
      <c r="D8" s="108"/>
      <c r="E8" s="108"/>
      <c r="F8" s="109"/>
      <c r="G8" s="113"/>
      <c r="H8" s="29"/>
      <c r="I8" s="101" t="s">
        <v>3</v>
      </c>
      <c r="J8" s="95" t="s">
        <v>4</v>
      </c>
      <c r="K8" s="96"/>
      <c r="L8" s="98" t="s">
        <v>5</v>
      </c>
      <c r="M8" s="100"/>
      <c r="N8" s="98" t="s">
        <v>46</v>
      </c>
      <c r="O8" s="100"/>
      <c r="P8" s="101" t="s">
        <v>6</v>
      </c>
      <c r="Q8" s="101" t="s">
        <v>3</v>
      </c>
      <c r="R8" s="95" t="s">
        <v>4</v>
      </c>
      <c r="S8" s="96"/>
      <c r="T8" s="98" t="s">
        <v>5</v>
      </c>
      <c r="U8" s="100"/>
      <c r="V8" s="98" t="s">
        <v>46</v>
      </c>
      <c r="W8" s="100"/>
      <c r="X8" s="101" t="s">
        <v>6</v>
      </c>
      <c r="Y8" s="101" t="s">
        <v>3</v>
      </c>
      <c r="Z8" s="95" t="s">
        <v>4</v>
      </c>
      <c r="AA8" s="96"/>
      <c r="AB8" s="98" t="s">
        <v>5</v>
      </c>
      <c r="AC8" s="100"/>
      <c r="AD8" s="98" t="s">
        <v>46</v>
      </c>
      <c r="AE8" s="100"/>
      <c r="AF8" s="101" t="s">
        <v>6</v>
      </c>
      <c r="AG8" s="121" t="s">
        <v>3</v>
      </c>
      <c r="AH8" s="114" t="s">
        <v>4</v>
      </c>
      <c r="AI8" s="115"/>
      <c r="AJ8" s="119" t="s">
        <v>5</v>
      </c>
      <c r="AK8" s="120"/>
      <c r="AL8" s="119" t="s">
        <v>46</v>
      </c>
      <c r="AM8" s="120"/>
      <c r="AN8" s="79" t="s">
        <v>6</v>
      </c>
      <c r="AO8" s="118"/>
    </row>
    <row r="9" spans="1:41" s="20" customFormat="1" x14ac:dyDescent="0.2">
      <c r="A9" s="110"/>
      <c r="B9" s="111"/>
      <c r="C9" s="111"/>
      <c r="D9" s="111"/>
      <c r="E9" s="111"/>
      <c r="F9" s="112"/>
      <c r="G9" s="113"/>
      <c r="H9" s="30"/>
      <c r="I9" s="102"/>
      <c r="J9" s="32" t="s">
        <v>7</v>
      </c>
      <c r="K9" s="33" t="s">
        <v>8</v>
      </c>
      <c r="L9" s="34" t="s">
        <v>7</v>
      </c>
      <c r="M9" s="33" t="s">
        <v>8</v>
      </c>
      <c r="N9" s="34" t="s">
        <v>7</v>
      </c>
      <c r="O9" s="33" t="s">
        <v>8</v>
      </c>
      <c r="P9" s="102"/>
      <c r="Q9" s="102"/>
      <c r="R9" s="32" t="s">
        <v>7</v>
      </c>
      <c r="S9" s="33" t="s">
        <v>8</v>
      </c>
      <c r="T9" s="34" t="s">
        <v>7</v>
      </c>
      <c r="U9" s="33" t="s">
        <v>8</v>
      </c>
      <c r="V9" s="34" t="s">
        <v>7</v>
      </c>
      <c r="W9" s="33" t="s">
        <v>8</v>
      </c>
      <c r="X9" s="102"/>
      <c r="Y9" s="102"/>
      <c r="Z9" s="32" t="s">
        <v>7</v>
      </c>
      <c r="AA9" s="33" t="s">
        <v>8</v>
      </c>
      <c r="AB9" s="34" t="s">
        <v>7</v>
      </c>
      <c r="AC9" s="33" t="s">
        <v>8</v>
      </c>
      <c r="AD9" s="34" t="s">
        <v>7</v>
      </c>
      <c r="AE9" s="33" t="s">
        <v>8</v>
      </c>
      <c r="AF9" s="102"/>
      <c r="AG9" s="80"/>
      <c r="AH9" s="11" t="s">
        <v>7</v>
      </c>
      <c r="AI9" s="3" t="s">
        <v>8</v>
      </c>
      <c r="AJ9" s="2" t="s">
        <v>7</v>
      </c>
      <c r="AK9" s="3" t="s">
        <v>8</v>
      </c>
      <c r="AL9" s="2" t="s">
        <v>7</v>
      </c>
      <c r="AM9" s="3" t="s">
        <v>8</v>
      </c>
      <c r="AN9" s="80"/>
      <c r="AO9" s="102"/>
    </row>
    <row r="10" spans="1:41" s="21" customFormat="1" x14ac:dyDescent="0.2">
      <c r="A10" s="62" t="s">
        <v>15</v>
      </c>
      <c r="B10" s="63" t="s">
        <v>47</v>
      </c>
      <c r="C10" s="63"/>
      <c r="D10" s="63"/>
      <c r="E10" s="63"/>
      <c r="F10" s="63"/>
      <c r="G10" s="56" t="s">
        <v>48</v>
      </c>
      <c r="H10" s="5"/>
      <c r="I10" s="35">
        <f t="shared" ref="I10:O10" si="0">I11 + I12</f>
        <v>0</v>
      </c>
      <c r="J10" s="35">
        <f t="shared" si="0"/>
        <v>0</v>
      </c>
      <c r="K10" s="35">
        <f t="shared" si="0"/>
        <v>0</v>
      </c>
      <c r="L10" s="48">
        <f t="shared" si="0"/>
        <v>0</v>
      </c>
      <c r="M10" s="48">
        <f t="shared" si="0"/>
        <v>0</v>
      </c>
      <c r="N10" s="35">
        <f t="shared" si="0"/>
        <v>0</v>
      </c>
      <c r="O10" s="35">
        <f t="shared" si="0"/>
        <v>0</v>
      </c>
      <c r="P10" s="35">
        <f t="shared" ref="P10:P19" si="1">I10+K10+M10+O10</f>
        <v>0</v>
      </c>
      <c r="Q10" s="12">
        <f t="shared" ref="Q10:W10" si="2">Q11 + Q12</f>
        <v>0</v>
      </c>
      <c r="R10" s="12">
        <f t="shared" si="2"/>
        <v>0</v>
      </c>
      <c r="S10" s="12">
        <f t="shared" si="2"/>
        <v>0</v>
      </c>
      <c r="T10" s="48">
        <f t="shared" si="2"/>
        <v>0</v>
      </c>
      <c r="U10" s="48">
        <f t="shared" si="2"/>
        <v>0</v>
      </c>
      <c r="V10" s="12">
        <f t="shared" si="2"/>
        <v>0</v>
      </c>
      <c r="W10" s="12">
        <f t="shared" si="2"/>
        <v>0</v>
      </c>
      <c r="X10" s="12">
        <f t="shared" ref="X10:X18" si="3">Q10+S10+U10+W10</f>
        <v>0</v>
      </c>
      <c r="Y10" s="12">
        <f t="shared" ref="Y10:AE10" si="4">Y11 + Y12</f>
        <v>0</v>
      </c>
      <c r="Z10" s="12">
        <f t="shared" si="4"/>
        <v>0</v>
      </c>
      <c r="AA10" s="12">
        <f t="shared" si="4"/>
        <v>0</v>
      </c>
      <c r="AB10" s="48">
        <f t="shared" si="4"/>
        <v>0</v>
      </c>
      <c r="AC10" s="48">
        <f t="shared" si="4"/>
        <v>0</v>
      </c>
      <c r="AD10" s="12">
        <f t="shared" si="4"/>
        <v>0</v>
      </c>
      <c r="AE10" s="12">
        <f t="shared" si="4"/>
        <v>0</v>
      </c>
      <c r="AF10" s="35">
        <f t="shared" ref="AF10:AF19" si="5">Y10+AA10+AC10+AE10</f>
        <v>0</v>
      </c>
      <c r="AG10" s="12">
        <f t="shared" ref="AG10:AM10" si="6">AG11 + AG12</f>
        <v>0</v>
      </c>
      <c r="AH10" s="12">
        <f t="shared" si="6"/>
        <v>0</v>
      </c>
      <c r="AI10" s="12">
        <f t="shared" si="6"/>
        <v>0</v>
      </c>
      <c r="AJ10" s="48">
        <f t="shared" si="6"/>
        <v>0</v>
      </c>
      <c r="AK10" s="48">
        <f t="shared" si="6"/>
        <v>0</v>
      </c>
      <c r="AL10" s="12">
        <f t="shared" si="6"/>
        <v>0</v>
      </c>
      <c r="AM10" s="12">
        <f t="shared" si="6"/>
        <v>0</v>
      </c>
      <c r="AN10" s="12">
        <f t="shared" ref="AN10:AN18" si="7">AG10+AI10+AK10+AM10</f>
        <v>0</v>
      </c>
      <c r="AO10" s="35">
        <f t="shared" ref="AO10:AO15" si="8">P10+X10+AF10+AN10</f>
        <v>0</v>
      </c>
    </row>
    <row r="11" spans="1:41" s="21" customFormat="1" x14ac:dyDescent="0.2">
      <c r="A11" s="62"/>
      <c r="B11" s="62" t="s">
        <v>10</v>
      </c>
      <c r="C11" s="63" t="s">
        <v>16</v>
      </c>
      <c r="D11" s="63"/>
      <c r="E11" s="63"/>
      <c r="F11" s="63"/>
      <c r="G11" s="64" t="s">
        <v>49</v>
      </c>
      <c r="H11" s="36"/>
      <c r="I11" s="38"/>
      <c r="J11" s="38"/>
      <c r="K11" s="38"/>
      <c r="L11" s="49"/>
      <c r="M11" s="49"/>
      <c r="N11" s="38"/>
      <c r="O11" s="38"/>
      <c r="P11" s="39">
        <f t="shared" si="1"/>
        <v>0</v>
      </c>
      <c r="Q11" s="17"/>
      <c r="R11" s="17"/>
      <c r="S11" s="17"/>
      <c r="T11" s="49"/>
      <c r="U11" s="49"/>
      <c r="V11" s="17"/>
      <c r="W11" s="17"/>
      <c r="X11" s="40">
        <f t="shared" si="3"/>
        <v>0</v>
      </c>
      <c r="Y11" s="17"/>
      <c r="Z11" s="17"/>
      <c r="AA11" s="17"/>
      <c r="AB11" s="49"/>
      <c r="AC11" s="49"/>
      <c r="AD11" s="17"/>
      <c r="AE11" s="17"/>
      <c r="AF11" s="39">
        <f t="shared" si="5"/>
        <v>0</v>
      </c>
      <c r="AG11" s="17"/>
      <c r="AH11" s="17"/>
      <c r="AI11" s="17"/>
      <c r="AJ11" s="49"/>
      <c r="AK11" s="49"/>
      <c r="AL11" s="17"/>
      <c r="AM11" s="17"/>
      <c r="AN11" s="12">
        <f t="shared" si="7"/>
        <v>0</v>
      </c>
      <c r="AO11" s="35">
        <f t="shared" si="8"/>
        <v>0</v>
      </c>
    </row>
    <row r="12" spans="1:41" s="21" customFormat="1" x14ac:dyDescent="0.2">
      <c r="A12" s="62"/>
      <c r="B12" s="62" t="s">
        <v>11</v>
      </c>
      <c r="C12" s="63" t="s">
        <v>18</v>
      </c>
      <c r="D12" s="63"/>
      <c r="E12" s="63"/>
      <c r="F12" s="63"/>
      <c r="G12" s="64" t="s">
        <v>50</v>
      </c>
      <c r="H12" s="36"/>
      <c r="I12" s="38"/>
      <c r="J12" s="38"/>
      <c r="K12" s="38"/>
      <c r="L12" s="49"/>
      <c r="M12" s="49"/>
      <c r="N12" s="38"/>
      <c r="O12" s="38"/>
      <c r="P12" s="39">
        <f t="shared" si="1"/>
        <v>0</v>
      </c>
      <c r="Q12" s="17"/>
      <c r="R12" s="17"/>
      <c r="S12" s="17"/>
      <c r="T12" s="49"/>
      <c r="U12" s="49"/>
      <c r="V12" s="17"/>
      <c r="W12" s="17"/>
      <c r="X12" s="40">
        <f t="shared" si="3"/>
        <v>0</v>
      </c>
      <c r="Y12" s="17"/>
      <c r="Z12" s="17"/>
      <c r="AA12" s="17"/>
      <c r="AB12" s="49"/>
      <c r="AC12" s="49"/>
      <c r="AD12" s="17"/>
      <c r="AE12" s="17"/>
      <c r="AF12" s="39">
        <f t="shared" si="5"/>
        <v>0</v>
      </c>
      <c r="AG12" s="17"/>
      <c r="AH12" s="17"/>
      <c r="AI12" s="17"/>
      <c r="AJ12" s="49"/>
      <c r="AK12" s="49"/>
      <c r="AL12" s="17"/>
      <c r="AM12" s="17"/>
      <c r="AN12" s="12">
        <f t="shared" si="7"/>
        <v>0</v>
      </c>
      <c r="AO12" s="35">
        <f t="shared" si="8"/>
        <v>0</v>
      </c>
    </row>
    <row r="13" spans="1:41" s="21" customFormat="1" x14ac:dyDescent="0.2">
      <c r="A13" s="62" t="s">
        <v>17</v>
      </c>
      <c r="B13" s="63" t="s">
        <v>51</v>
      </c>
      <c r="C13" s="63"/>
      <c r="D13" s="63"/>
      <c r="E13" s="63"/>
      <c r="F13" s="63"/>
      <c r="G13" s="64" t="s">
        <v>52</v>
      </c>
      <c r="H13" s="36"/>
      <c r="I13" s="41"/>
      <c r="J13" s="49">
        <f t="shared" ref="J13:O13" si="9">J14 + J15</f>
        <v>0</v>
      </c>
      <c r="K13" s="49">
        <f t="shared" si="9"/>
        <v>0</v>
      </c>
      <c r="L13" s="49">
        <f t="shared" si="9"/>
        <v>0</v>
      </c>
      <c r="M13" s="49">
        <f t="shared" si="9"/>
        <v>0</v>
      </c>
      <c r="N13" s="39">
        <f t="shared" si="9"/>
        <v>0</v>
      </c>
      <c r="O13" s="39">
        <f t="shared" si="9"/>
        <v>0</v>
      </c>
      <c r="P13" s="49">
        <f t="shared" si="1"/>
        <v>0</v>
      </c>
      <c r="Q13" s="41"/>
      <c r="R13" s="49">
        <f t="shared" ref="R13:W13" si="10">R14 + R15</f>
        <v>0</v>
      </c>
      <c r="S13" s="49">
        <f t="shared" si="10"/>
        <v>0</v>
      </c>
      <c r="T13" s="49">
        <f t="shared" si="10"/>
        <v>0</v>
      </c>
      <c r="U13" s="49">
        <f t="shared" si="10"/>
        <v>0</v>
      </c>
      <c r="V13" s="40">
        <f t="shared" si="10"/>
        <v>0</v>
      </c>
      <c r="W13" s="40">
        <f t="shared" si="10"/>
        <v>0</v>
      </c>
      <c r="X13" s="49">
        <f t="shared" si="3"/>
        <v>0</v>
      </c>
      <c r="Y13" s="41"/>
      <c r="Z13" s="49">
        <f t="shared" ref="Z13:AE13" si="11">Z14 + Z15</f>
        <v>0</v>
      </c>
      <c r="AA13" s="49">
        <f t="shared" si="11"/>
        <v>0</v>
      </c>
      <c r="AB13" s="49">
        <f t="shared" si="11"/>
        <v>0</v>
      </c>
      <c r="AC13" s="49">
        <f t="shared" si="11"/>
        <v>0</v>
      </c>
      <c r="AD13" s="40">
        <f t="shared" si="11"/>
        <v>0</v>
      </c>
      <c r="AE13" s="40">
        <f t="shared" si="11"/>
        <v>0</v>
      </c>
      <c r="AF13" s="49">
        <f t="shared" si="5"/>
        <v>0</v>
      </c>
      <c r="AG13" s="41"/>
      <c r="AH13" s="49">
        <f t="shared" ref="AH13:AM13" si="12">AH14 + AH15</f>
        <v>0</v>
      </c>
      <c r="AI13" s="49">
        <f t="shared" si="12"/>
        <v>0</v>
      </c>
      <c r="AJ13" s="49">
        <f t="shared" si="12"/>
        <v>0</v>
      </c>
      <c r="AK13" s="49">
        <f t="shared" si="12"/>
        <v>0</v>
      </c>
      <c r="AL13" s="40">
        <f t="shared" si="12"/>
        <v>0</v>
      </c>
      <c r="AM13" s="40">
        <f t="shared" si="12"/>
        <v>0</v>
      </c>
      <c r="AN13" s="48">
        <f t="shared" si="7"/>
        <v>0</v>
      </c>
      <c r="AO13" s="48">
        <f t="shared" si="8"/>
        <v>0</v>
      </c>
    </row>
    <row r="14" spans="1:41" s="21" customFormat="1" x14ac:dyDescent="0.2">
      <c r="A14" s="62"/>
      <c r="B14" s="62" t="s">
        <v>10</v>
      </c>
      <c r="C14" s="63" t="s">
        <v>21</v>
      </c>
      <c r="D14" s="63"/>
      <c r="E14" s="63"/>
      <c r="F14" s="63"/>
      <c r="G14" s="64" t="s">
        <v>53</v>
      </c>
      <c r="H14" s="36"/>
      <c r="I14" s="42"/>
      <c r="J14" s="49"/>
      <c r="K14" s="49"/>
      <c r="L14" s="49"/>
      <c r="M14" s="49"/>
      <c r="N14" s="38"/>
      <c r="O14" s="38"/>
      <c r="P14" s="49">
        <f t="shared" si="1"/>
        <v>0</v>
      </c>
      <c r="Q14" s="42"/>
      <c r="R14" s="49"/>
      <c r="S14" s="49"/>
      <c r="T14" s="49"/>
      <c r="U14" s="49"/>
      <c r="V14" s="17"/>
      <c r="W14" s="17"/>
      <c r="X14" s="49">
        <f t="shared" si="3"/>
        <v>0</v>
      </c>
      <c r="Y14" s="42"/>
      <c r="Z14" s="49"/>
      <c r="AA14" s="49"/>
      <c r="AB14" s="49"/>
      <c r="AC14" s="49"/>
      <c r="AD14" s="17"/>
      <c r="AE14" s="17"/>
      <c r="AF14" s="49">
        <f t="shared" si="5"/>
        <v>0</v>
      </c>
      <c r="AG14" s="42"/>
      <c r="AH14" s="49"/>
      <c r="AI14" s="49"/>
      <c r="AJ14" s="49"/>
      <c r="AK14" s="49"/>
      <c r="AL14" s="17"/>
      <c r="AM14" s="17"/>
      <c r="AN14" s="48">
        <f t="shared" si="7"/>
        <v>0</v>
      </c>
      <c r="AO14" s="48">
        <f t="shared" si="8"/>
        <v>0</v>
      </c>
    </row>
    <row r="15" spans="1:41" s="21" customFormat="1" x14ac:dyDescent="0.2">
      <c r="A15" s="62"/>
      <c r="B15" s="62" t="s">
        <v>11</v>
      </c>
      <c r="C15" s="63" t="s">
        <v>18</v>
      </c>
      <c r="D15" s="63"/>
      <c r="E15" s="63"/>
      <c r="F15" s="63"/>
      <c r="G15" s="64" t="s">
        <v>54</v>
      </c>
      <c r="H15" s="36"/>
      <c r="I15" s="42"/>
      <c r="J15" s="49"/>
      <c r="K15" s="49"/>
      <c r="L15" s="49"/>
      <c r="M15" s="49"/>
      <c r="N15" s="38"/>
      <c r="O15" s="38"/>
      <c r="P15" s="49">
        <f t="shared" si="1"/>
        <v>0</v>
      </c>
      <c r="Q15" s="42"/>
      <c r="R15" s="49"/>
      <c r="S15" s="49"/>
      <c r="T15" s="49"/>
      <c r="U15" s="49"/>
      <c r="V15" s="17"/>
      <c r="W15" s="17"/>
      <c r="X15" s="49">
        <f t="shared" si="3"/>
        <v>0</v>
      </c>
      <c r="Y15" s="42"/>
      <c r="Z15" s="49"/>
      <c r="AA15" s="49"/>
      <c r="AB15" s="49"/>
      <c r="AC15" s="49"/>
      <c r="AD15" s="17"/>
      <c r="AE15" s="17"/>
      <c r="AF15" s="49">
        <f t="shared" si="5"/>
        <v>0</v>
      </c>
      <c r="AG15" s="42"/>
      <c r="AH15" s="49"/>
      <c r="AI15" s="49"/>
      <c r="AJ15" s="49"/>
      <c r="AK15" s="49"/>
      <c r="AL15" s="17"/>
      <c r="AM15" s="17"/>
      <c r="AN15" s="48">
        <f t="shared" si="7"/>
        <v>0</v>
      </c>
      <c r="AO15" s="48">
        <f t="shared" si="8"/>
        <v>0</v>
      </c>
    </row>
    <row r="16" spans="1:41" s="21" customFormat="1" x14ac:dyDescent="0.2">
      <c r="A16" s="65" t="s">
        <v>55</v>
      </c>
      <c r="B16" s="55" t="s">
        <v>56</v>
      </c>
      <c r="C16" s="55"/>
      <c r="D16" s="55"/>
      <c r="E16" s="55"/>
      <c r="F16" s="55"/>
      <c r="G16" s="64" t="s">
        <v>75</v>
      </c>
      <c r="H16" s="36"/>
      <c r="I16" s="39">
        <f>I17 + I18</f>
        <v>0</v>
      </c>
      <c r="J16" s="49">
        <f>J18</f>
        <v>0</v>
      </c>
      <c r="K16" s="49">
        <f>K18</f>
        <v>0</v>
      </c>
      <c r="L16" s="49">
        <f>L18</f>
        <v>0</v>
      </c>
      <c r="M16" s="49">
        <f>M18</f>
        <v>0</v>
      </c>
      <c r="N16" s="40">
        <f>N17+N18</f>
        <v>0</v>
      </c>
      <c r="O16" s="40">
        <f>O17+O18</f>
        <v>0</v>
      </c>
      <c r="P16" s="39">
        <f t="shared" si="1"/>
        <v>0</v>
      </c>
      <c r="Q16" s="49">
        <f>Q17+Q18</f>
        <v>0</v>
      </c>
      <c r="R16" s="46"/>
      <c r="S16" s="46"/>
      <c r="T16" s="49">
        <f>T17+T18</f>
        <v>0</v>
      </c>
      <c r="U16" s="49">
        <f>U17+U18</f>
        <v>0</v>
      </c>
      <c r="V16" s="40">
        <f>V17+V18</f>
        <v>0</v>
      </c>
      <c r="W16" s="40">
        <f>W17+W18</f>
        <v>0</v>
      </c>
      <c r="X16" s="49">
        <f t="shared" si="3"/>
        <v>0</v>
      </c>
      <c r="Y16" s="46"/>
      <c r="Z16" s="46"/>
      <c r="AA16" s="46"/>
      <c r="AB16" s="46"/>
      <c r="AC16" s="46"/>
      <c r="AD16" s="40">
        <f>AD17+AD18</f>
        <v>0</v>
      </c>
      <c r="AE16" s="40">
        <f>AE17+AE18</f>
        <v>0</v>
      </c>
      <c r="AF16" s="49">
        <f t="shared" si="5"/>
        <v>0</v>
      </c>
      <c r="AG16" s="41"/>
      <c r="AH16" s="41"/>
      <c r="AI16" s="41"/>
      <c r="AJ16" s="41"/>
      <c r="AK16" s="41"/>
      <c r="AL16" s="40">
        <f>AL17+AL18</f>
        <v>0</v>
      </c>
      <c r="AM16" s="40">
        <f>AM17+AM18</f>
        <v>0</v>
      </c>
      <c r="AN16" s="48">
        <f t="shared" si="7"/>
        <v>0</v>
      </c>
      <c r="AO16" s="35">
        <f>AO17+AO18</f>
        <v>0</v>
      </c>
    </row>
    <row r="17" spans="1:41" s="21" customFormat="1" x14ac:dyDescent="0.2">
      <c r="A17" s="62"/>
      <c r="B17" s="62" t="s">
        <v>10</v>
      </c>
      <c r="C17" s="63" t="s">
        <v>57</v>
      </c>
      <c r="D17" s="63"/>
      <c r="E17" s="63"/>
      <c r="F17" s="63"/>
      <c r="G17" s="64" t="s">
        <v>58</v>
      </c>
      <c r="H17" s="36"/>
      <c r="I17" s="38"/>
      <c r="J17" s="42"/>
      <c r="K17" s="42"/>
      <c r="L17" s="42"/>
      <c r="M17" s="42"/>
      <c r="N17" s="17"/>
      <c r="O17" s="17"/>
      <c r="P17" s="39">
        <f t="shared" si="1"/>
        <v>0</v>
      </c>
      <c r="Q17" s="49"/>
      <c r="R17" s="47"/>
      <c r="S17" s="47"/>
      <c r="T17" s="47"/>
      <c r="U17" s="47"/>
      <c r="V17" s="17"/>
      <c r="W17" s="17"/>
      <c r="X17" s="49">
        <f t="shared" si="3"/>
        <v>0</v>
      </c>
      <c r="Y17" s="47"/>
      <c r="Z17" s="42"/>
      <c r="AA17" s="42"/>
      <c r="AB17" s="42"/>
      <c r="AC17" s="42"/>
      <c r="AD17" s="17"/>
      <c r="AE17" s="17"/>
      <c r="AF17" s="49">
        <f t="shared" si="5"/>
        <v>0</v>
      </c>
      <c r="AG17" s="42"/>
      <c r="AH17" s="42"/>
      <c r="AI17" s="42"/>
      <c r="AJ17" s="42"/>
      <c r="AK17" s="42"/>
      <c r="AL17" s="17"/>
      <c r="AM17" s="17"/>
      <c r="AN17" s="48">
        <f t="shared" si="7"/>
        <v>0</v>
      </c>
      <c r="AO17" s="35">
        <f>P17+X17+AF17+AN17</f>
        <v>0</v>
      </c>
    </row>
    <row r="18" spans="1:41" s="21" customFormat="1" x14ac:dyDescent="0.2">
      <c r="A18" s="62"/>
      <c r="B18" s="66" t="s">
        <v>11</v>
      </c>
      <c r="C18" s="103" t="s">
        <v>59</v>
      </c>
      <c r="D18" s="103"/>
      <c r="E18" s="103"/>
      <c r="F18" s="103"/>
      <c r="G18" s="64" t="s">
        <v>60</v>
      </c>
      <c r="H18" s="36"/>
      <c r="I18" s="42"/>
      <c r="J18" s="49"/>
      <c r="K18" s="49"/>
      <c r="L18" s="49"/>
      <c r="M18" s="49"/>
      <c r="N18" s="38"/>
      <c r="O18" s="38"/>
      <c r="P18" s="49">
        <f t="shared" si="1"/>
        <v>0</v>
      </c>
      <c r="Q18" s="47"/>
      <c r="R18" s="47"/>
      <c r="S18" s="47"/>
      <c r="T18" s="49"/>
      <c r="U18" s="49"/>
      <c r="V18" s="17"/>
      <c r="W18" s="17"/>
      <c r="X18" s="49">
        <f t="shared" si="3"/>
        <v>0</v>
      </c>
      <c r="Y18" s="42"/>
      <c r="Z18" s="47"/>
      <c r="AA18" s="47"/>
      <c r="AB18" s="47"/>
      <c r="AC18" s="47"/>
      <c r="AD18" s="17"/>
      <c r="AE18" s="17"/>
      <c r="AF18" s="49">
        <f t="shared" si="5"/>
        <v>0</v>
      </c>
      <c r="AG18" s="42"/>
      <c r="AH18" s="42"/>
      <c r="AI18" s="42"/>
      <c r="AJ18" s="42"/>
      <c r="AK18" s="42"/>
      <c r="AL18" s="17"/>
      <c r="AM18" s="17"/>
      <c r="AN18" s="48">
        <f t="shared" si="7"/>
        <v>0</v>
      </c>
      <c r="AO18" s="48">
        <f>P18+X18+AF18+AN18</f>
        <v>0</v>
      </c>
    </row>
    <row r="19" spans="1:41" s="22" customFormat="1" x14ac:dyDescent="0.2">
      <c r="A19" s="54" t="s">
        <v>73</v>
      </c>
      <c r="B19" s="54"/>
      <c r="C19" s="54"/>
      <c r="D19" s="54"/>
      <c r="E19" s="54"/>
      <c r="F19" s="55"/>
      <c r="G19" s="56" t="s">
        <v>61</v>
      </c>
      <c r="H19" s="37"/>
      <c r="I19" s="39">
        <f t="shared" ref="I19:O19" si="13">I10 + I13 + I16</f>
        <v>0</v>
      </c>
      <c r="J19" s="39">
        <f t="shared" si="13"/>
        <v>0</v>
      </c>
      <c r="K19" s="39">
        <f t="shared" si="13"/>
        <v>0</v>
      </c>
      <c r="L19" s="49">
        <f t="shared" si="13"/>
        <v>0</v>
      </c>
      <c r="M19" s="49">
        <f t="shared" si="13"/>
        <v>0</v>
      </c>
      <c r="N19" s="39">
        <f t="shared" si="13"/>
        <v>0</v>
      </c>
      <c r="O19" s="39">
        <f t="shared" si="13"/>
        <v>0</v>
      </c>
      <c r="P19" s="39">
        <f t="shared" si="1"/>
        <v>0</v>
      </c>
      <c r="Q19" s="39">
        <f t="shared" ref="Q19:W19" si="14">Q10 + Q13 + Q16</f>
        <v>0</v>
      </c>
      <c r="R19" s="39">
        <f t="shared" si="14"/>
        <v>0</v>
      </c>
      <c r="S19" s="39">
        <f t="shared" si="14"/>
        <v>0</v>
      </c>
      <c r="T19" s="49">
        <f t="shared" si="14"/>
        <v>0</v>
      </c>
      <c r="U19" s="49">
        <f t="shared" si="14"/>
        <v>0</v>
      </c>
      <c r="V19" s="39">
        <f t="shared" si="14"/>
        <v>0</v>
      </c>
      <c r="W19" s="39">
        <f t="shared" si="14"/>
        <v>0</v>
      </c>
      <c r="X19" s="40">
        <f>Q19+S19+U19+W19</f>
        <v>0</v>
      </c>
      <c r="Y19" s="39">
        <f t="shared" ref="Y19:AE19" si="15">Y10 + Y13 + Y16</f>
        <v>0</v>
      </c>
      <c r="Z19" s="39">
        <f t="shared" si="15"/>
        <v>0</v>
      </c>
      <c r="AA19" s="39">
        <f t="shared" si="15"/>
        <v>0</v>
      </c>
      <c r="AB19" s="49">
        <f t="shared" si="15"/>
        <v>0</v>
      </c>
      <c r="AC19" s="49">
        <f t="shared" si="15"/>
        <v>0</v>
      </c>
      <c r="AD19" s="39">
        <f t="shared" si="15"/>
        <v>0</v>
      </c>
      <c r="AE19" s="39">
        <f t="shared" si="15"/>
        <v>0</v>
      </c>
      <c r="AF19" s="39">
        <f t="shared" si="5"/>
        <v>0</v>
      </c>
      <c r="AG19" s="40">
        <f t="shared" ref="AG19:AM19" si="16">AG10 + AG13 + AG16</f>
        <v>0</v>
      </c>
      <c r="AH19" s="40">
        <f t="shared" si="16"/>
        <v>0</v>
      </c>
      <c r="AI19" s="40">
        <f t="shared" si="16"/>
        <v>0</v>
      </c>
      <c r="AJ19" s="48">
        <f t="shared" si="16"/>
        <v>0</v>
      </c>
      <c r="AK19" s="48">
        <f t="shared" si="16"/>
        <v>0</v>
      </c>
      <c r="AL19" s="39">
        <f t="shared" si="16"/>
        <v>0</v>
      </c>
      <c r="AM19" s="39">
        <f t="shared" si="16"/>
        <v>0</v>
      </c>
      <c r="AN19" s="12">
        <f>AG19+AI19+AK19+AM19</f>
        <v>0</v>
      </c>
      <c r="AO19" s="35">
        <f>P19+X19+AF19+AN19</f>
        <v>0</v>
      </c>
    </row>
    <row r="20" spans="1:41" s="21" customFormat="1" x14ac:dyDescent="0.2">
      <c r="A20" s="67" t="s">
        <v>62</v>
      </c>
      <c r="B20" s="63"/>
      <c r="C20" s="63"/>
      <c r="D20" s="63"/>
      <c r="E20" s="63"/>
      <c r="F20" s="63"/>
      <c r="G20" s="68"/>
      <c r="H20" s="36"/>
      <c r="I20" s="43"/>
      <c r="J20" s="43"/>
      <c r="K20" s="43"/>
      <c r="L20" s="43"/>
      <c r="M20" s="43"/>
      <c r="N20" s="43"/>
      <c r="O20" s="43"/>
      <c r="P20" s="39"/>
      <c r="Q20" s="43"/>
      <c r="R20" s="43"/>
      <c r="S20" s="43"/>
      <c r="T20" s="43"/>
      <c r="U20" s="43"/>
      <c r="V20" s="43"/>
      <c r="W20" s="43"/>
      <c r="X20" s="39"/>
      <c r="Y20" s="43"/>
      <c r="Z20" s="43"/>
      <c r="AA20" s="43"/>
      <c r="AB20" s="43"/>
      <c r="AC20" s="43"/>
      <c r="AD20" s="43"/>
      <c r="AE20" s="43"/>
      <c r="AF20" s="39"/>
      <c r="AG20" s="44"/>
      <c r="AH20" s="44"/>
      <c r="AI20" s="44"/>
      <c r="AJ20" s="44"/>
      <c r="AK20" s="44"/>
      <c r="AL20" s="43"/>
      <c r="AM20" s="43"/>
      <c r="AN20" s="12"/>
      <c r="AO20" s="35"/>
    </row>
    <row r="21" spans="1:41" s="21" customFormat="1" x14ac:dyDescent="0.2">
      <c r="A21" s="63" t="s">
        <v>63</v>
      </c>
      <c r="B21" s="63" t="s">
        <v>64</v>
      </c>
      <c r="C21" s="63"/>
      <c r="D21" s="63"/>
      <c r="E21" s="63"/>
      <c r="F21" s="63"/>
      <c r="G21" s="64" t="s">
        <v>65</v>
      </c>
      <c r="H21" s="36"/>
      <c r="I21" s="39">
        <f t="shared" ref="I21:O21" si="17">I22 + I23 + I24</f>
        <v>0</v>
      </c>
      <c r="J21" s="39">
        <f t="shared" si="17"/>
        <v>0</v>
      </c>
      <c r="K21" s="39">
        <f t="shared" si="17"/>
        <v>0</v>
      </c>
      <c r="L21" s="49">
        <f t="shared" si="17"/>
        <v>0</v>
      </c>
      <c r="M21" s="49">
        <f t="shared" si="17"/>
        <v>0</v>
      </c>
      <c r="N21" s="39">
        <f t="shared" si="17"/>
        <v>0</v>
      </c>
      <c r="O21" s="39">
        <f t="shared" si="17"/>
        <v>0</v>
      </c>
      <c r="P21" s="39">
        <f>I21+K21+M21+O21</f>
        <v>0</v>
      </c>
      <c r="Q21" s="39">
        <f t="shared" ref="Q21:W21" si="18">Q22 + Q23 + Q24</f>
        <v>0</v>
      </c>
      <c r="R21" s="39">
        <f t="shared" si="18"/>
        <v>0</v>
      </c>
      <c r="S21" s="39">
        <f t="shared" si="18"/>
        <v>0</v>
      </c>
      <c r="T21" s="49">
        <f t="shared" si="18"/>
        <v>0</v>
      </c>
      <c r="U21" s="49">
        <f t="shared" si="18"/>
        <v>0</v>
      </c>
      <c r="V21" s="39">
        <f t="shared" si="18"/>
        <v>0</v>
      </c>
      <c r="W21" s="39">
        <f t="shared" si="18"/>
        <v>0</v>
      </c>
      <c r="X21" s="40">
        <f>Q21+S21+U21+W21</f>
        <v>0</v>
      </c>
      <c r="Y21" s="39">
        <f t="shared" ref="Y21:AE21" si="19">Y22 + Y23 + Y24</f>
        <v>0</v>
      </c>
      <c r="Z21" s="39">
        <f t="shared" si="19"/>
        <v>0</v>
      </c>
      <c r="AA21" s="39">
        <f t="shared" si="19"/>
        <v>0</v>
      </c>
      <c r="AB21" s="49">
        <f t="shared" si="19"/>
        <v>0</v>
      </c>
      <c r="AC21" s="49">
        <f t="shared" si="19"/>
        <v>0</v>
      </c>
      <c r="AD21" s="39">
        <f t="shared" si="19"/>
        <v>0</v>
      </c>
      <c r="AE21" s="39">
        <f t="shared" si="19"/>
        <v>0</v>
      </c>
      <c r="AF21" s="39">
        <f>Y21+AA21+AC21+AE21</f>
        <v>0</v>
      </c>
      <c r="AG21" s="40">
        <f t="shared" ref="AG21:AM21" si="20">AG22 + AG23 + AG24</f>
        <v>0</v>
      </c>
      <c r="AH21" s="40">
        <f t="shared" si="20"/>
        <v>0</v>
      </c>
      <c r="AI21" s="40">
        <f t="shared" si="20"/>
        <v>0</v>
      </c>
      <c r="AJ21" s="49">
        <f t="shared" si="20"/>
        <v>0</v>
      </c>
      <c r="AK21" s="49">
        <f t="shared" si="20"/>
        <v>0</v>
      </c>
      <c r="AL21" s="39">
        <f t="shared" si="20"/>
        <v>0</v>
      </c>
      <c r="AM21" s="39">
        <f t="shared" si="20"/>
        <v>0</v>
      </c>
      <c r="AN21" s="12">
        <f>AG21+AI21+AK21+AM21</f>
        <v>0</v>
      </c>
      <c r="AO21" s="35">
        <f>P21+X21+AF21+AN21</f>
        <v>0</v>
      </c>
    </row>
    <row r="22" spans="1:41" s="21" customFormat="1" x14ac:dyDescent="0.2">
      <c r="A22" s="62"/>
      <c r="B22" s="62" t="s">
        <v>10</v>
      </c>
      <c r="C22" s="63" t="s">
        <v>66</v>
      </c>
      <c r="D22" s="63"/>
      <c r="E22" s="63"/>
      <c r="F22" s="63"/>
      <c r="G22" s="64" t="s">
        <v>67</v>
      </c>
      <c r="H22" s="36"/>
      <c r="I22" s="38"/>
      <c r="J22" s="38"/>
      <c r="K22" s="38"/>
      <c r="L22" s="49"/>
      <c r="M22" s="49"/>
      <c r="N22" s="38"/>
      <c r="O22" s="38"/>
      <c r="P22" s="39">
        <f>I22+K22+M22+O22</f>
        <v>0</v>
      </c>
      <c r="Q22" s="38"/>
      <c r="R22" s="38"/>
      <c r="S22" s="38"/>
      <c r="T22" s="49"/>
      <c r="U22" s="49"/>
      <c r="V22" s="38"/>
      <c r="W22" s="38"/>
      <c r="X22" s="40">
        <f>Q22+S22+U22+W22</f>
        <v>0</v>
      </c>
      <c r="Y22" s="38"/>
      <c r="Z22" s="38"/>
      <c r="AA22" s="38"/>
      <c r="AB22" s="49"/>
      <c r="AC22" s="49"/>
      <c r="AD22" s="38"/>
      <c r="AE22" s="38"/>
      <c r="AF22" s="39">
        <f>Y22+AA22+AC22+AE22</f>
        <v>0</v>
      </c>
      <c r="AG22" s="17"/>
      <c r="AH22" s="17"/>
      <c r="AI22" s="17"/>
      <c r="AJ22" s="49"/>
      <c r="AK22" s="49"/>
      <c r="AL22" s="38"/>
      <c r="AM22" s="38"/>
      <c r="AN22" s="12">
        <f>AG22+AI22+AK22+AM22</f>
        <v>0</v>
      </c>
      <c r="AO22" s="35">
        <f>P22+X22+AF22+AN22</f>
        <v>0</v>
      </c>
    </row>
    <row r="23" spans="1:41" s="21" customFormat="1" x14ac:dyDescent="0.2">
      <c r="A23" s="62"/>
      <c r="B23" s="62" t="s">
        <v>11</v>
      </c>
      <c r="C23" s="63" t="s">
        <v>68</v>
      </c>
      <c r="D23" s="63"/>
      <c r="E23" s="63"/>
      <c r="F23" s="63"/>
      <c r="G23" s="64" t="s">
        <v>69</v>
      </c>
      <c r="H23" s="36"/>
      <c r="I23" s="42"/>
      <c r="J23" s="42"/>
      <c r="K23" s="42"/>
      <c r="L23" s="42"/>
      <c r="M23" s="42"/>
      <c r="N23" s="17"/>
      <c r="O23" s="17"/>
      <c r="P23" s="49">
        <f>I23+K23+M23+O23</f>
        <v>0</v>
      </c>
      <c r="Q23" s="42"/>
      <c r="R23" s="42"/>
      <c r="S23" s="42"/>
      <c r="T23" s="42"/>
      <c r="U23" s="42"/>
      <c r="V23" s="17"/>
      <c r="W23" s="17"/>
      <c r="X23" s="49">
        <f>Q23+S23+U23+W23</f>
        <v>0</v>
      </c>
      <c r="Y23" s="42"/>
      <c r="Z23" s="42"/>
      <c r="AA23" s="42"/>
      <c r="AB23" s="42"/>
      <c r="AC23" s="42"/>
      <c r="AD23" s="17"/>
      <c r="AE23" s="17"/>
      <c r="AF23" s="49">
        <f>Y23+AA23+AC23+AE23</f>
        <v>0</v>
      </c>
      <c r="AG23" s="17"/>
      <c r="AH23" s="17"/>
      <c r="AI23" s="17"/>
      <c r="AJ23" s="49"/>
      <c r="AK23" s="49"/>
      <c r="AL23" s="17"/>
      <c r="AM23" s="17"/>
      <c r="AN23" s="12">
        <f>AG23+AI23+AK23+AM23</f>
        <v>0</v>
      </c>
      <c r="AO23" s="35">
        <f>P23+X23+AF23+AN23</f>
        <v>0</v>
      </c>
    </row>
    <row r="24" spans="1:41" s="21" customFormat="1" x14ac:dyDescent="0.2">
      <c r="A24" s="62"/>
      <c r="B24" s="62" t="s">
        <v>13</v>
      </c>
      <c r="C24" s="63" t="s">
        <v>70</v>
      </c>
      <c r="D24" s="63"/>
      <c r="E24" s="63"/>
      <c r="F24" s="63"/>
      <c r="G24" s="64" t="s">
        <v>71</v>
      </c>
      <c r="H24" s="36"/>
      <c r="I24" s="42"/>
      <c r="J24" s="42"/>
      <c r="K24" s="42"/>
      <c r="L24" s="42"/>
      <c r="M24" s="42"/>
      <c r="N24" s="17"/>
      <c r="O24" s="17"/>
      <c r="P24" s="49">
        <f>I24+K24+M24+O24</f>
        <v>0</v>
      </c>
      <c r="Q24" s="42"/>
      <c r="R24" s="42"/>
      <c r="S24" s="42"/>
      <c r="T24" s="42"/>
      <c r="U24" s="42"/>
      <c r="V24" s="17"/>
      <c r="W24" s="17"/>
      <c r="X24" s="49">
        <f>Q24+S24+U24+W24</f>
        <v>0</v>
      </c>
      <c r="Y24" s="42"/>
      <c r="Z24" s="42"/>
      <c r="AA24" s="42"/>
      <c r="AB24" s="42"/>
      <c r="AC24" s="42"/>
      <c r="AD24" s="17"/>
      <c r="AE24" s="17"/>
      <c r="AF24" s="49">
        <f>Y24+AA24+AC24+AE24</f>
        <v>0</v>
      </c>
      <c r="AG24" s="17"/>
      <c r="AH24" s="17"/>
      <c r="AI24" s="17"/>
      <c r="AJ24" s="49"/>
      <c r="AK24" s="49"/>
      <c r="AL24" s="17"/>
      <c r="AM24" s="17"/>
      <c r="AN24" s="12">
        <f>AG24+AI24+AK24+AM24</f>
        <v>0</v>
      </c>
      <c r="AO24" s="35">
        <f>P24+X24+AF24+AN24</f>
        <v>0</v>
      </c>
    </row>
    <row r="25" spans="1:41" s="21" customFormat="1" ht="23.25" customHeight="1" x14ac:dyDescent="0.2">
      <c r="A25" s="62" t="s">
        <v>700</v>
      </c>
      <c r="B25" s="116" t="s">
        <v>704</v>
      </c>
      <c r="C25" s="117"/>
      <c r="D25" s="63"/>
      <c r="E25" s="63"/>
      <c r="F25" s="63"/>
      <c r="G25" s="64" t="s">
        <v>701</v>
      </c>
      <c r="H25" s="69"/>
      <c r="I25" s="38"/>
      <c r="J25" s="38"/>
      <c r="K25" s="38"/>
      <c r="L25" s="49"/>
      <c r="M25" s="49"/>
      <c r="N25" s="70"/>
      <c r="O25" s="70"/>
      <c r="P25" s="39">
        <f>I25+K25+M25+O25</f>
        <v>0</v>
      </c>
      <c r="Q25" s="38"/>
      <c r="R25" s="38"/>
      <c r="S25" s="38"/>
      <c r="T25" s="49"/>
      <c r="U25" s="49"/>
      <c r="V25" s="70"/>
      <c r="W25" s="70"/>
      <c r="X25" s="40">
        <f>Q25+S25+U25+W25</f>
        <v>0</v>
      </c>
      <c r="Y25" s="38"/>
      <c r="Z25" s="38"/>
      <c r="AA25" s="38"/>
      <c r="AB25" s="49"/>
      <c r="AC25" s="49"/>
      <c r="AD25" s="70"/>
      <c r="AE25" s="70"/>
      <c r="AF25" s="39">
        <f>Y25+AA25+AC25+AE25</f>
        <v>0</v>
      </c>
      <c r="AG25" s="17"/>
      <c r="AH25" s="17"/>
      <c r="AI25" s="17"/>
      <c r="AJ25" s="49"/>
      <c r="AK25" s="49"/>
      <c r="AL25" s="70"/>
      <c r="AM25" s="70"/>
      <c r="AN25" s="12">
        <f>AG25+AI25+AK25+AM25</f>
        <v>0</v>
      </c>
      <c r="AO25" s="35">
        <f>P25+X25+AF25+AN25</f>
        <v>0</v>
      </c>
    </row>
    <row r="26" spans="1:41" x14ac:dyDescent="0.25">
      <c r="A26" s="21"/>
      <c r="B26" s="21"/>
      <c r="C26" s="21"/>
      <c r="D26" s="21"/>
      <c r="E26" s="21"/>
      <c r="F26" s="21"/>
      <c r="G26" s="23" t="s">
        <v>38</v>
      </c>
      <c r="H26" s="24"/>
    </row>
    <row r="27" spans="1:41" x14ac:dyDescent="0.25">
      <c r="A27" s="26"/>
    </row>
    <row r="28" spans="1:41" x14ac:dyDescent="0.25">
      <c r="A28" s="26"/>
    </row>
    <row r="30" spans="1:41" x14ac:dyDescent="0.25">
      <c r="Z30" s="28"/>
    </row>
  </sheetData>
  <sheetProtection sheet="1" objects="1" scenarios="1" selectLockedCells="1"/>
  <mergeCells count="37">
    <mergeCell ref="B25:C25"/>
    <mergeCell ref="AN8:AN9"/>
    <mergeCell ref="AG7:AN7"/>
    <mergeCell ref="AO7:AO9"/>
    <mergeCell ref="Q8:Q9"/>
    <mergeCell ref="R8:S8"/>
    <mergeCell ref="T8:U8"/>
    <mergeCell ref="AJ8:AK8"/>
    <mergeCell ref="AG8:AG9"/>
    <mergeCell ref="AL8:AM8"/>
    <mergeCell ref="C18:F18"/>
    <mergeCell ref="A7:F9"/>
    <mergeCell ref="G7:G9"/>
    <mergeCell ref="AH8:AI8"/>
    <mergeCell ref="L8:M8"/>
    <mergeCell ref="P8:P9"/>
    <mergeCell ref="Z8:AA8"/>
    <mergeCell ref="X8:X9"/>
    <mergeCell ref="Y8:Y9"/>
    <mergeCell ref="AD8:AE8"/>
    <mergeCell ref="A6:AI6"/>
    <mergeCell ref="J8:K8"/>
    <mergeCell ref="I7:P7"/>
    <mergeCell ref="Q7:X7"/>
    <mergeCell ref="Y7:AF7"/>
    <mergeCell ref="I8:I9"/>
    <mergeCell ref="AF8:AF9"/>
    <mergeCell ref="AB8:AC8"/>
    <mergeCell ref="N8:O8"/>
    <mergeCell ref="V8:W8"/>
    <mergeCell ref="A3:AO3"/>
    <mergeCell ref="A4:AO4"/>
    <mergeCell ref="A5:AO5"/>
    <mergeCell ref="A1:X1"/>
    <mergeCell ref="A2:X2"/>
    <mergeCell ref="Y2:AO2"/>
    <mergeCell ref="Y1:AO1"/>
  </mergeCells>
  <phoneticPr fontId="1" type="noConversion"/>
  <dataValidations count="1">
    <dataValidation type="decimal" operator="greaterThanOrEqual" allowBlank="1" showInputMessage="1" showErrorMessage="1" errorTitle="Invalid entry!" error="Accepts greater than or equal to zero only." sqref="I10:AO25">
      <formula1>0</formula1>
    </dataValidation>
  </dataValidations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2_x000D_&amp;U &amp;"Arial,Bold" &amp;P &amp;"Arial,Regular"of &amp;"Arial,Bold"&amp;N&amp;C&amp;"Arial,Bold"&amp;8 NEW RURAL BANK OF SAN LEONARDO INC.  [ 04-006056 ]
 As of: June 30, 2016</oddHeader>
  </headerFooter>
  <colBreaks count="1" manualBreakCount="1">
    <brk id="24" max="23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783"/>
  <sheetViews>
    <sheetView tabSelected="1" topLeftCell="B1" workbookViewId="0"/>
  </sheetViews>
  <sheetFormatPr defaultRowHeight="12.75" x14ac:dyDescent="0.2"/>
  <cols>
    <col min="1" max="1" width="43.42578125" style="16" hidden="1" customWidth="1"/>
    <col min="2" max="16384" width="9.140625" style="15"/>
  </cols>
  <sheetData>
    <row r="1" spans="1:2" x14ac:dyDescent="0.2">
      <c r="A1" s="50" t="s">
        <v>706</v>
      </c>
      <c r="B1" s="14" t="s">
        <v>74</v>
      </c>
    </row>
    <row r="2" spans="1:2" x14ac:dyDescent="0.2">
      <c r="A2" s="50" t="s">
        <v>707</v>
      </c>
      <c r="B2" s="14" t="s">
        <v>74</v>
      </c>
    </row>
    <row r="3" spans="1:2" x14ac:dyDescent="0.2">
      <c r="A3" s="50" t="s">
        <v>708</v>
      </c>
      <c r="B3" s="14" t="s">
        <v>74</v>
      </c>
    </row>
    <row r="4" spans="1:2" x14ac:dyDescent="0.2">
      <c r="A4" s="50" t="s">
        <v>709</v>
      </c>
      <c r="B4" s="14" t="s">
        <v>74</v>
      </c>
    </row>
    <row r="5" spans="1:2" x14ac:dyDescent="0.2">
      <c r="A5" s="50">
        <v>5</v>
      </c>
      <c r="B5" s="14" t="s">
        <v>74</v>
      </c>
    </row>
    <row r="6" spans="1:2" x14ac:dyDescent="0.2">
      <c r="A6" s="50" t="s">
        <v>710</v>
      </c>
      <c r="B6" s="15" t="s">
        <v>74</v>
      </c>
    </row>
    <row r="7" spans="1:2" x14ac:dyDescent="0.2">
      <c r="A7" s="51">
        <v>20160630</v>
      </c>
      <c r="B7" s="15" t="s">
        <v>74</v>
      </c>
    </row>
    <row r="8" spans="1:2" x14ac:dyDescent="0.2">
      <c r="A8" s="52" t="s">
        <v>76</v>
      </c>
    </row>
    <row r="9" spans="1:2" x14ac:dyDescent="0.2">
      <c r="A9" s="52" t="s">
        <v>705</v>
      </c>
    </row>
    <row r="10" spans="1:2" x14ac:dyDescent="0.2">
      <c r="A10" s="53">
        <v>2</v>
      </c>
    </row>
    <row r="11" spans="1:2" x14ac:dyDescent="0.2">
      <c r="A11" s="52" t="s">
        <v>686</v>
      </c>
    </row>
    <row r="12" spans="1:2" x14ac:dyDescent="0.2">
      <c r="A12" s="52"/>
    </row>
    <row r="13" spans="1:2" x14ac:dyDescent="0.2">
      <c r="A13" s="52"/>
    </row>
    <row r="14" spans="1:2" x14ac:dyDescent="0.2">
      <c r="A14" s="52"/>
    </row>
    <row r="15" spans="1:2" x14ac:dyDescent="0.2">
      <c r="A15" s="52"/>
    </row>
    <row r="16" spans="1:2" x14ac:dyDescent="0.2">
      <c r="A16" s="52"/>
    </row>
    <row r="17" spans="1:1" x14ac:dyDescent="0.2">
      <c r="A17" s="52"/>
    </row>
    <row r="18" spans="1:1" x14ac:dyDescent="0.2">
      <c r="A18" s="52"/>
    </row>
    <row r="19" spans="1:1" x14ac:dyDescent="0.2">
      <c r="A19" s="52"/>
    </row>
    <row r="20" spans="1:1" x14ac:dyDescent="0.2">
      <c r="A20" s="52">
        <v>6</v>
      </c>
    </row>
    <row r="21" spans="1:1" x14ac:dyDescent="0.2">
      <c r="A21" s="52">
        <v>2016</v>
      </c>
    </row>
    <row r="22" spans="1:1" x14ac:dyDescent="0.2">
      <c r="A22" s="52"/>
    </row>
    <row r="23" spans="1:1" x14ac:dyDescent="0.2">
      <c r="A23" s="52"/>
    </row>
    <row r="24" spans="1:1" x14ac:dyDescent="0.2">
      <c r="A24" s="52"/>
    </row>
    <row r="25" spans="1:1" x14ac:dyDescent="0.2">
      <c r="A25" s="52"/>
    </row>
    <row r="26" spans="1:1" x14ac:dyDescent="0.2">
      <c r="A26" s="52"/>
    </row>
    <row r="27" spans="1:1" x14ac:dyDescent="0.2">
      <c r="A27" s="52"/>
    </row>
    <row r="28" spans="1:1" x14ac:dyDescent="0.2">
      <c r="A28" s="52"/>
    </row>
    <row r="29" spans="1:1" x14ac:dyDescent="0.2">
      <c r="A29" s="52"/>
    </row>
    <row r="30" spans="1:1" x14ac:dyDescent="0.2">
      <c r="A30" s="52"/>
    </row>
    <row r="31" spans="1:1" x14ac:dyDescent="0.2">
      <c r="A31" s="52"/>
    </row>
    <row r="32" spans="1:1" x14ac:dyDescent="0.2">
      <c r="A32" s="52"/>
    </row>
    <row r="33" spans="1:1" x14ac:dyDescent="0.2">
      <c r="A33" s="52"/>
    </row>
    <row r="34" spans="1:1" x14ac:dyDescent="0.2">
      <c r="A34" s="52"/>
    </row>
    <row r="35" spans="1:1" x14ac:dyDescent="0.2">
      <c r="A35" s="52"/>
    </row>
    <row r="36" spans="1:1" x14ac:dyDescent="0.2">
      <c r="A36" s="52"/>
    </row>
    <row r="37" spans="1:1" x14ac:dyDescent="0.2">
      <c r="A37" s="52"/>
    </row>
    <row r="38" spans="1:1" x14ac:dyDescent="0.2">
      <c r="A38" s="52"/>
    </row>
    <row r="39" spans="1:1" x14ac:dyDescent="0.2">
      <c r="A39" s="52"/>
    </row>
    <row r="40" spans="1:1" x14ac:dyDescent="0.2">
      <c r="A40" s="52"/>
    </row>
    <row r="41" spans="1:1" x14ac:dyDescent="0.2">
      <c r="A41" s="52"/>
    </row>
    <row r="42" spans="1:1" x14ac:dyDescent="0.2">
      <c r="A42" s="52"/>
    </row>
    <row r="43" spans="1:1" x14ac:dyDescent="0.2">
      <c r="A43" s="52"/>
    </row>
    <row r="44" spans="1:1" x14ac:dyDescent="0.2">
      <c r="A44" s="52"/>
    </row>
    <row r="45" spans="1:1" x14ac:dyDescent="0.2">
      <c r="A45" s="52"/>
    </row>
    <row r="46" spans="1:1" x14ac:dyDescent="0.2">
      <c r="A46" s="52"/>
    </row>
    <row r="47" spans="1:1" x14ac:dyDescent="0.2">
      <c r="A47" s="52"/>
    </row>
    <row r="48" spans="1:1" x14ac:dyDescent="0.2">
      <c r="A48" s="52"/>
    </row>
    <row r="49" spans="1:1" x14ac:dyDescent="0.2">
      <c r="A49" s="52"/>
    </row>
    <row r="50" spans="1:1" x14ac:dyDescent="0.2">
      <c r="A50" s="52" t="s">
        <v>368</v>
      </c>
    </row>
    <row r="51" spans="1:1" x14ac:dyDescent="0.2">
      <c r="A51" s="52" t="s">
        <v>331</v>
      </c>
    </row>
    <row r="52" spans="1:1" x14ac:dyDescent="0.2">
      <c r="A52" s="52" t="s">
        <v>332</v>
      </c>
    </row>
    <row r="53" spans="1:1" x14ac:dyDescent="0.2">
      <c r="A53" s="52" t="s">
        <v>376</v>
      </c>
    </row>
    <row r="54" spans="1:1" x14ac:dyDescent="0.2">
      <c r="A54" s="52" t="s">
        <v>400</v>
      </c>
    </row>
    <row r="55" spans="1:1" x14ac:dyDescent="0.2">
      <c r="A55" s="52" t="s">
        <v>401</v>
      </c>
    </row>
    <row r="56" spans="1:1" x14ac:dyDescent="0.2">
      <c r="A56" s="52" t="s">
        <v>689</v>
      </c>
    </row>
    <row r="57" spans="1:1" x14ac:dyDescent="0.2">
      <c r="A57" s="52" t="s">
        <v>402</v>
      </c>
    </row>
    <row r="58" spans="1:1" x14ac:dyDescent="0.2">
      <c r="A58" s="52" t="s">
        <v>403</v>
      </c>
    </row>
    <row r="59" spans="1:1" x14ac:dyDescent="0.2">
      <c r="A59" s="52" t="s">
        <v>377</v>
      </c>
    </row>
    <row r="60" spans="1:1" x14ac:dyDescent="0.2">
      <c r="A60" s="52" t="s">
        <v>404</v>
      </c>
    </row>
    <row r="61" spans="1:1" x14ac:dyDescent="0.2">
      <c r="A61" s="52" t="s">
        <v>77</v>
      </c>
    </row>
    <row r="62" spans="1:1" x14ac:dyDescent="0.2">
      <c r="A62" s="52" t="s">
        <v>367</v>
      </c>
    </row>
    <row r="63" spans="1:1" x14ac:dyDescent="0.2">
      <c r="A63" s="52" t="s">
        <v>78</v>
      </c>
    </row>
    <row r="64" spans="1:1" x14ac:dyDescent="0.2">
      <c r="A64" s="52" t="s">
        <v>405</v>
      </c>
    </row>
    <row r="65" spans="1:1" x14ac:dyDescent="0.2">
      <c r="A65" s="52" t="s">
        <v>79</v>
      </c>
    </row>
    <row r="66" spans="1:1" x14ac:dyDescent="0.2">
      <c r="A66" s="52" t="s">
        <v>80</v>
      </c>
    </row>
    <row r="67" spans="1:1" x14ac:dyDescent="0.2">
      <c r="A67" s="52" t="s">
        <v>378</v>
      </c>
    </row>
    <row r="68" spans="1:1" x14ac:dyDescent="0.2">
      <c r="A68" s="52" t="s">
        <v>81</v>
      </c>
    </row>
    <row r="69" spans="1:1" x14ac:dyDescent="0.2">
      <c r="A69" s="52" t="s">
        <v>82</v>
      </c>
    </row>
    <row r="70" spans="1:1" x14ac:dyDescent="0.2">
      <c r="A70" s="52" t="s">
        <v>340</v>
      </c>
    </row>
    <row r="71" spans="1:1" x14ac:dyDescent="0.2">
      <c r="A71" s="52" t="s">
        <v>388</v>
      </c>
    </row>
    <row r="72" spans="1:1" x14ac:dyDescent="0.2">
      <c r="A72" s="52" t="s">
        <v>341</v>
      </c>
    </row>
    <row r="73" spans="1:1" x14ac:dyDescent="0.2">
      <c r="A73" s="52" t="s">
        <v>692</v>
      </c>
    </row>
    <row r="74" spans="1:1" x14ac:dyDescent="0.2">
      <c r="A74" s="52" t="s">
        <v>369</v>
      </c>
    </row>
    <row r="75" spans="1:1" x14ac:dyDescent="0.2">
      <c r="A75" s="52" t="s">
        <v>383</v>
      </c>
    </row>
    <row r="76" spans="1:1" x14ac:dyDescent="0.2">
      <c r="A76" s="52" t="s">
        <v>681</v>
      </c>
    </row>
    <row r="77" spans="1:1" x14ac:dyDescent="0.2">
      <c r="A77" s="52" t="s">
        <v>83</v>
      </c>
    </row>
    <row r="78" spans="1:1" x14ac:dyDescent="0.2">
      <c r="A78" s="52" t="s">
        <v>84</v>
      </c>
    </row>
    <row r="79" spans="1:1" x14ac:dyDescent="0.2">
      <c r="A79" s="52" t="s">
        <v>408</v>
      </c>
    </row>
    <row r="80" spans="1:1" x14ac:dyDescent="0.2">
      <c r="A80" s="52" t="s">
        <v>409</v>
      </c>
    </row>
    <row r="81" spans="1:1" x14ac:dyDescent="0.2">
      <c r="A81" s="52" t="s">
        <v>632</v>
      </c>
    </row>
    <row r="82" spans="1:1" x14ac:dyDescent="0.2">
      <c r="A82" s="52" t="s">
        <v>342</v>
      </c>
    </row>
    <row r="83" spans="1:1" x14ac:dyDescent="0.2">
      <c r="A83" s="52" t="s">
        <v>379</v>
      </c>
    </row>
    <row r="84" spans="1:1" x14ac:dyDescent="0.2">
      <c r="A84" s="52" t="s">
        <v>85</v>
      </c>
    </row>
    <row r="85" spans="1:1" x14ac:dyDescent="0.2">
      <c r="A85" s="52" t="s">
        <v>86</v>
      </c>
    </row>
    <row r="86" spans="1:1" x14ac:dyDescent="0.2">
      <c r="A86" s="52" t="s">
        <v>343</v>
      </c>
    </row>
    <row r="87" spans="1:1" x14ac:dyDescent="0.2">
      <c r="A87" s="52" t="s">
        <v>698</v>
      </c>
    </row>
    <row r="88" spans="1:1" x14ac:dyDescent="0.2">
      <c r="A88" s="52" t="s">
        <v>412</v>
      </c>
    </row>
    <row r="89" spans="1:1" x14ac:dyDescent="0.2">
      <c r="A89" s="52" t="s">
        <v>87</v>
      </c>
    </row>
    <row r="90" spans="1:1" x14ac:dyDescent="0.2">
      <c r="A90" s="52" t="s">
        <v>88</v>
      </c>
    </row>
    <row r="91" spans="1:1" x14ac:dyDescent="0.2">
      <c r="A91" s="52" t="s">
        <v>89</v>
      </c>
    </row>
    <row r="92" spans="1:1" x14ac:dyDescent="0.2">
      <c r="A92" s="52" t="s">
        <v>413</v>
      </c>
    </row>
    <row r="93" spans="1:1" x14ac:dyDescent="0.2">
      <c r="A93" s="52" t="s">
        <v>370</v>
      </c>
    </row>
    <row r="94" spans="1:1" x14ac:dyDescent="0.2">
      <c r="A94" s="52" t="s">
        <v>414</v>
      </c>
    </row>
    <row r="95" spans="1:1" x14ac:dyDescent="0.2">
      <c r="A95" s="52" t="s">
        <v>90</v>
      </c>
    </row>
    <row r="96" spans="1:1" x14ac:dyDescent="0.2">
      <c r="A96" s="52" t="s">
        <v>680</v>
      </c>
    </row>
    <row r="97" spans="1:1" x14ac:dyDescent="0.2">
      <c r="A97" s="52" t="s">
        <v>91</v>
      </c>
    </row>
    <row r="98" spans="1:1" x14ac:dyDescent="0.2">
      <c r="A98" s="52" t="s">
        <v>393</v>
      </c>
    </row>
    <row r="99" spans="1:1" x14ac:dyDescent="0.2">
      <c r="A99" s="52" t="s">
        <v>415</v>
      </c>
    </row>
    <row r="100" spans="1:1" x14ac:dyDescent="0.2">
      <c r="A100" s="52" t="s">
        <v>694</v>
      </c>
    </row>
    <row r="101" spans="1:1" x14ac:dyDescent="0.2">
      <c r="A101" s="52" t="s">
        <v>416</v>
      </c>
    </row>
    <row r="102" spans="1:1" x14ac:dyDescent="0.2">
      <c r="A102" s="52" t="s">
        <v>92</v>
      </c>
    </row>
    <row r="103" spans="1:1" x14ac:dyDescent="0.2">
      <c r="A103" s="52" t="s">
        <v>93</v>
      </c>
    </row>
    <row r="104" spans="1:1" x14ac:dyDescent="0.2">
      <c r="A104" s="52" t="s">
        <v>339</v>
      </c>
    </row>
    <row r="105" spans="1:1" x14ac:dyDescent="0.2">
      <c r="A105" s="52" t="s">
        <v>94</v>
      </c>
    </row>
    <row r="106" spans="1:1" x14ac:dyDescent="0.2">
      <c r="A106" s="52" t="s">
        <v>95</v>
      </c>
    </row>
    <row r="107" spans="1:1" x14ac:dyDescent="0.2">
      <c r="A107" s="52" t="s">
        <v>96</v>
      </c>
    </row>
    <row r="108" spans="1:1" x14ac:dyDescent="0.2">
      <c r="A108" s="52" t="s">
        <v>97</v>
      </c>
    </row>
    <row r="109" spans="1:1" x14ac:dyDescent="0.2">
      <c r="A109" s="52" t="s">
        <v>98</v>
      </c>
    </row>
    <row r="110" spans="1:1" x14ac:dyDescent="0.2">
      <c r="A110" s="52" t="s">
        <v>336</v>
      </c>
    </row>
    <row r="111" spans="1:1" x14ac:dyDescent="0.2">
      <c r="A111" s="52" t="s">
        <v>417</v>
      </c>
    </row>
    <row r="112" spans="1:1" x14ac:dyDescent="0.2">
      <c r="A112" s="52" t="s">
        <v>418</v>
      </c>
    </row>
    <row r="113" spans="1:1" x14ac:dyDescent="0.2">
      <c r="A113" s="52" t="s">
        <v>435</v>
      </c>
    </row>
    <row r="114" spans="1:1" x14ac:dyDescent="0.2">
      <c r="A114" s="52" t="s">
        <v>99</v>
      </c>
    </row>
    <row r="115" spans="1:1" x14ac:dyDescent="0.2">
      <c r="A115" s="52" t="s">
        <v>100</v>
      </c>
    </row>
    <row r="116" spans="1:1" x14ac:dyDescent="0.2">
      <c r="A116" s="52" t="s">
        <v>101</v>
      </c>
    </row>
    <row r="117" spans="1:1" x14ac:dyDescent="0.2">
      <c r="A117" s="52" t="s">
        <v>102</v>
      </c>
    </row>
    <row r="118" spans="1:1" x14ac:dyDescent="0.2">
      <c r="A118" s="52" t="s">
        <v>344</v>
      </c>
    </row>
    <row r="119" spans="1:1" x14ac:dyDescent="0.2">
      <c r="A119" s="52" t="s">
        <v>345</v>
      </c>
    </row>
    <row r="120" spans="1:1" x14ac:dyDescent="0.2">
      <c r="A120" s="52" t="s">
        <v>103</v>
      </c>
    </row>
    <row r="121" spans="1:1" x14ac:dyDescent="0.2">
      <c r="A121" s="52" t="s">
        <v>346</v>
      </c>
    </row>
    <row r="122" spans="1:1" x14ac:dyDescent="0.2">
      <c r="A122" s="52" t="s">
        <v>690</v>
      </c>
    </row>
    <row r="123" spans="1:1" x14ac:dyDescent="0.2">
      <c r="A123" s="52" t="s">
        <v>104</v>
      </c>
    </row>
    <row r="124" spans="1:1" x14ac:dyDescent="0.2">
      <c r="A124" s="52" t="s">
        <v>398</v>
      </c>
    </row>
    <row r="125" spans="1:1" x14ac:dyDescent="0.2">
      <c r="A125" s="52" t="s">
        <v>105</v>
      </c>
    </row>
    <row r="126" spans="1:1" x14ac:dyDescent="0.2">
      <c r="A126" s="52" t="s">
        <v>106</v>
      </c>
    </row>
    <row r="127" spans="1:1" x14ac:dyDescent="0.2">
      <c r="A127" s="52" t="s">
        <v>419</v>
      </c>
    </row>
    <row r="128" spans="1:1" x14ac:dyDescent="0.2">
      <c r="A128" s="52" t="s">
        <v>107</v>
      </c>
    </row>
    <row r="129" spans="1:1" x14ac:dyDescent="0.2">
      <c r="A129" s="52" t="s">
        <v>108</v>
      </c>
    </row>
    <row r="130" spans="1:1" x14ac:dyDescent="0.2">
      <c r="A130" s="52" t="s">
        <v>384</v>
      </c>
    </row>
    <row r="131" spans="1:1" x14ac:dyDescent="0.2">
      <c r="A131" s="52" t="s">
        <v>420</v>
      </c>
    </row>
    <row r="132" spans="1:1" x14ac:dyDescent="0.2">
      <c r="A132" s="52" t="s">
        <v>421</v>
      </c>
    </row>
    <row r="133" spans="1:1" x14ac:dyDescent="0.2">
      <c r="A133" s="52" t="s">
        <v>422</v>
      </c>
    </row>
    <row r="134" spans="1:1" x14ac:dyDescent="0.2">
      <c r="A134" s="52" t="s">
        <v>406</v>
      </c>
    </row>
    <row r="135" spans="1:1" x14ac:dyDescent="0.2">
      <c r="A135" s="52" t="s">
        <v>423</v>
      </c>
    </row>
    <row r="136" spans="1:1" x14ac:dyDescent="0.2">
      <c r="A136" s="52" t="s">
        <v>424</v>
      </c>
    </row>
    <row r="137" spans="1:1" x14ac:dyDescent="0.2">
      <c r="A137" s="52" t="s">
        <v>425</v>
      </c>
    </row>
    <row r="138" spans="1:1" x14ac:dyDescent="0.2">
      <c r="A138" s="52" t="s">
        <v>427</v>
      </c>
    </row>
    <row r="139" spans="1:1" x14ac:dyDescent="0.2">
      <c r="A139" s="52" t="s">
        <v>428</v>
      </c>
    </row>
    <row r="140" spans="1:1" x14ac:dyDescent="0.2">
      <c r="A140" s="52" t="s">
        <v>429</v>
      </c>
    </row>
    <row r="141" spans="1:1" x14ac:dyDescent="0.2">
      <c r="A141" s="52" t="s">
        <v>430</v>
      </c>
    </row>
    <row r="142" spans="1:1" x14ac:dyDescent="0.2">
      <c r="A142" s="52" t="s">
        <v>687</v>
      </c>
    </row>
    <row r="143" spans="1:1" x14ac:dyDescent="0.2">
      <c r="A143" s="52" t="s">
        <v>109</v>
      </c>
    </row>
    <row r="144" spans="1:1" x14ac:dyDescent="0.2">
      <c r="A144" s="52" t="s">
        <v>110</v>
      </c>
    </row>
    <row r="145" spans="1:1" x14ac:dyDescent="0.2">
      <c r="A145" s="52" t="s">
        <v>431</v>
      </c>
    </row>
    <row r="146" spans="1:1" x14ac:dyDescent="0.2">
      <c r="A146" s="52" t="s">
        <v>432</v>
      </c>
    </row>
    <row r="147" spans="1:1" x14ac:dyDescent="0.2">
      <c r="A147" s="52" t="s">
        <v>111</v>
      </c>
    </row>
    <row r="148" spans="1:1" x14ac:dyDescent="0.2">
      <c r="A148" s="52" t="s">
        <v>112</v>
      </c>
    </row>
    <row r="149" spans="1:1" x14ac:dyDescent="0.2">
      <c r="A149" s="52" t="s">
        <v>347</v>
      </c>
    </row>
    <row r="150" spans="1:1" x14ac:dyDescent="0.2">
      <c r="A150" s="52" t="s">
        <v>436</v>
      </c>
    </row>
    <row r="151" spans="1:1" x14ac:dyDescent="0.2">
      <c r="A151" s="52" t="s">
        <v>113</v>
      </c>
    </row>
    <row r="152" spans="1:1" x14ac:dyDescent="0.2">
      <c r="A152" s="52" t="s">
        <v>334</v>
      </c>
    </row>
    <row r="153" spans="1:1" x14ac:dyDescent="0.2">
      <c r="A153" s="52" t="s">
        <v>114</v>
      </c>
    </row>
    <row r="154" spans="1:1" x14ac:dyDescent="0.2">
      <c r="A154" s="52" t="s">
        <v>115</v>
      </c>
    </row>
    <row r="155" spans="1:1" x14ac:dyDescent="0.2">
      <c r="A155" s="52" t="s">
        <v>116</v>
      </c>
    </row>
    <row r="156" spans="1:1" x14ac:dyDescent="0.2">
      <c r="A156" s="52" t="s">
        <v>438</v>
      </c>
    </row>
    <row r="157" spans="1:1" x14ac:dyDescent="0.2">
      <c r="A157" s="52" t="s">
        <v>117</v>
      </c>
    </row>
    <row r="158" spans="1:1" x14ac:dyDescent="0.2">
      <c r="A158" s="52" t="s">
        <v>118</v>
      </c>
    </row>
    <row r="159" spans="1:1" x14ac:dyDescent="0.2">
      <c r="A159" s="52" t="s">
        <v>119</v>
      </c>
    </row>
    <row r="160" spans="1:1" x14ac:dyDescent="0.2">
      <c r="A160" s="52" t="s">
        <v>120</v>
      </c>
    </row>
    <row r="161" spans="1:1" x14ac:dyDescent="0.2">
      <c r="A161" s="52" t="s">
        <v>395</v>
      </c>
    </row>
    <row r="162" spans="1:1" x14ac:dyDescent="0.2">
      <c r="A162" s="52" t="s">
        <v>121</v>
      </c>
    </row>
    <row r="163" spans="1:1" x14ac:dyDescent="0.2">
      <c r="A163" s="52" t="s">
        <v>434</v>
      </c>
    </row>
    <row r="164" spans="1:1" x14ac:dyDescent="0.2">
      <c r="A164" s="52" t="s">
        <v>433</v>
      </c>
    </row>
    <row r="165" spans="1:1" x14ac:dyDescent="0.2">
      <c r="A165" s="52" t="s">
        <v>348</v>
      </c>
    </row>
    <row r="166" spans="1:1" x14ac:dyDescent="0.2">
      <c r="A166" s="52" t="s">
        <v>349</v>
      </c>
    </row>
    <row r="167" spans="1:1" x14ac:dyDescent="0.2">
      <c r="A167" s="52" t="s">
        <v>396</v>
      </c>
    </row>
    <row r="168" spans="1:1" x14ac:dyDescent="0.2">
      <c r="A168" s="52" t="s">
        <v>439</v>
      </c>
    </row>
    <row r="169" spans="1:1" x14ac:dyDescent="0.2">
      <c r="A169" s="52" t="s">
        <v>691</v>
      </c>
    </row>
    <row r="170" spans="1:1" x14ac:dyDescent="0.2">
      <c r="A170" s="52" t="s">
        <v>440</v>
      </c>
    </row>
    <row r="171" spans="1:1" x14ac:dyDescent="0.2">
      <c r="A171" s="52" t="s">
        <v>397</v>
      </c>
    </row>
    <row r="172" spans="1:1" x14ac:dyDescent="0.2">
      <c r="A172" s="52" t="s">
        <v>350</v>
      </c>
    </row>
    <row r="173" spans="1:1" x14ac:dyDescent="0.2">
      <c r="A173" s="52" t="s">
        <v>122</v>
      </c>
    </row>
    <row r="174" spans="1:1" x14ac:dyDescent="0.2">
      <c r="A174" s="52" t="s">
        <v>371</v>
      </c>
    </row>
    <row r="175" spans="1:1" x14ac:dyDescent="0.2">
      <c r="A175" s="52" t="s">
        <v>123</v>
      </c>
    </row>
    <row r="176" spans="1:1" x14ac:dyDescent="0.2">
      <c r="A176" s="52" t="s">
        <v>372</v>
      </c>
    </row>
    <row r="177" spans="1:1" x14ac:dyDescent="0.2">
      <c r="A177" s="52" t="s">
        <v>124</v>
      </c>
    </row>
    <row r="178" spans="1:1" x14ac:dyDescent="0.2">
      <c r="A178" s="52" t="s">
        <v>125</v>
      </c>
    </row>
    <row r="179" spans="1:1" x14ac:dyDescent="0.2">
      <c r="A179" s="52" t="s">
        <v>126</v>
      </c>
    </row>
    <row r="180" spans="1:1" x14ac:dyDescent="0.2">
      <c r="A180" s="52" t="s">
        <v>442</v>
      </c>
    </row>
    <row r="181" spans="1:1" x14ac:dyDescent="0.2">
      <c r="A181" s="52" t="s">
        <v>695</v>
      </c>
    </row>
    <row r="182" spans="1:1" x14ac:dyDescent="0.2">
      <c r="A182" s="52" t="s">
        <v>443</v>
      </c>
    </row>
    <row r="183" spans="1:1" x14ac:dyDescent="0.2">
      <c r="A183" s="52" t="s">
        <v>127</v>
      </c>
    </row>
    <row r="184" spans="1:1" x14ac:dyDescent="0.2">
      <c r="A184" s="52" t="s">
        <v>128</v>
      </c>
    </row>
    <row r="185" spans="1:1" x14ac:dyDescent="0.2">
      <c r="A185" s="52" t="s">
        <v>444</v>
      </c>
    </row>
    <row r="186" spans="1:1" x14ac:dyDescent="0.2">
      <c r="A186" s="52" t="s">
        <v>129</v>
      </c>
    </row>
    <row r="187" spans="1:1" x14ac:dyDescent="0.2">
      <c r="A187" s="52" t="s">
        <v>380</v>
      </c>
    </row>
    <row r="188" spans="1:1" x14ac:dyDescent="0.2">
      <c r="A188" s="52" t="s">
        <v>445</v>
      </c>
    </row>
    <row r="189" spans="1:1" x14ac:dyDescent="0.2">
      <c r="A189" s="52" t="s">
        <v>130</v>
      </c>
    </row>
    <row r="190" spans="1:1" x14ac:dyDescent="0.2">
      <c r="A190" s="52" t="s">
        <v>131</v>
      </c>
    </row>
    <row r="191" spans="1:1" x14ac:dyDescent="0.2">
      <c r="A191" s="52" t="s">
        <v>446</v>
      </c>
    </row>
    <row r="192" spans="1:1" x14ac:dyDescent="0.2">
      <c r="A192" s="52" t="s">
        <v>132</v>
      </c>
    </row>
    <row r="193" spans="1:1" x14ac:dyDescent="0.2">
      <c r="A193" s="52" t="s">
        <v>133</v>
      </c>
    </row>
    <row r="194" spans="1:1" x14ac:dyDescent="0.2">
      <c r="A194" s="52" t="s">
        <v>134</v>
      </c>
    </row>
    <row r="195" spans="1:1" x14ac:dyDescent="0.2">
      <c r="A195" s="52" t="s">
        <v>459</v>
      </c>
    </row>
    <row r="196" spans="1:1" x14ac:dyDescent="0.2">
      <c r="A196" s="52" t="s">
        <v>373</v>
      </c>
    </row>
    <row r="197" spans="1:1" x14ac:dyDescent="0.2">
      <c r="A197" s="52" t="s">
        <v>447</v>
      </c>
    </row>
    <row r="198" spans="1:1" x14ac:dyDescent="0.2">
      <c r="A198" s="52" t="s">
        <v>135</v>
      </c>
    </row>
    <row r="199" spans="1:1" x14ac:dyDescent="0.2">
      <c r="A199" s="52" t="s">
        <v>136</v>
      </c>
    </row>
    <row r="200" spans="1:1" x14ac:dyDescent="0.2">
      <c r="A200" s="52" t="s">
        <v>448</v>
      </c>
    </row>
    <row r="201" spans="1:1" x14ac:dyDescent="0.2">
      <c r="A201" s="52" t="s">
        <v>351</v>
      </c>
    </row>
    <row r="202" spans="1:1" x14ac:dyDescent="0.2">
      <c r="A202" s="52" t="s">
        <v>137</v>
      </c>
    </row>
    <row r="203" spans="1:1" x14ac:dyDescent="0.2">
      <c r="A203" s="52" t="s">
        <v>335</v>
      </c>
    </row>
    <row r="204" spans="1:1" x14ac:dyDescent="0.2">
      <c r="A204" s="52" t="s">
        <v>138</v>
      </c>
    </row>
    <row r="205" spans="1:1" x14ac:dyDescent="0.2">
      <c r="A205" s="52" t="s">
        <v>139</v>
      </c>
    </row>
    <row r="206" spans="1:1" x14ac:dyDescent="0.2">
      <c r="A206" s="52" t="s">
        <v>140</v>
      </c>
    </row>
    <row r="207" spans="1:1" x14ac:dyDescent="0.2">
      <c r="A207" s="52" t="s">
        <v>374</v>
      </c>
    </row>
    <row r="208" spans="1:1" x14ac:dyDescent="0.2">
      <c r="A208" s="52" t="s">
        <v>141</v>
      </c>
    </row>
    <row r="209" spans="1:1" x14ac:dyDescent="0.2">
      <c r="A209" s="52" t="s">
        <v>142</v>
      </c>
    </row>
    <row r="210" spans="1:1" x14ac:dyDescent="0.2">
      <c r="A210" s="52" t="s">
        <v>449</v>
      </c>
    </row>
    <row r="211" spans="1:1" x14ac:dyDescent="0.2">
      <c r="A211" s="52" t="s">
        <v>143</v>
      </c>
    </row>
    <row r="212" spans="1:1" x14ac:dyDescent="0.2">
      <c r="A212" s="52" t="s">
        <v>144</v>
      </c>
    </row>
    <row r="213" spans="1:1" x14ac:dyDescent="0.2">
      <c r="A213" s="52" t="s">
        <v>450</v>
      </c>
    </row>
    <row r="214" spans="1:1" x14ac:dyDescent="0.2">
      <c r="A214" s="52" t="s">
        <v>451</v>
      </c>
    </row>
    <row r="215" spans="1:1" x14ac:dyDescent="0.2">
      <c r="A215" s="52" t="s">
        <v>145</v>
      </c>
    </row>
    <row r="216" spans="1:1" x14ac:dyDescent="0.2">
      <c r="A216" s="52" t="s">
        <v>146</v>
      </c>
    </row>
    <row r="217" spans="1:1" x14ac:dyDescent="0.2">
      <c r="A217" s="52" t="s">
        <v>352</v>
      </c>
    </row>
    <row r="218" spans="1:1" x14ac:dyDescent="0.2">
      <c r="A218" s="52" t="s">
        <v>147</v>
      </c>
    </row>
    <row r="219" spans="1:1" x14ac:dyDescent="0.2">
      <c r="A219" s="52" t="s">
        <v>148</v>
      </c>
    </row>
    <row r="220" spans="1:1" x14ac:dyDescent="0.2">
      <c r="A220" s="52" t="s">
        <v>149</v>
      </c>
    </row>
    <row r="221" spans="1:1" x14ac:dyDescent="0.2">
      <c r="A221" s="52" t="s">
        <v>452</v>
      </c>
    </row>
    <row r="222" spans="1:1" x14ac:dyDescent="0.2">
      <c r="A222" s="52" t="s">
        <v>150</v>
      </c>
    </row>
    <row r="223" spans="1:1" x14ac:dyDescent="0.2">
      <c r="A223" s="52" t="s">
        <v>353</v>
      </c>
    </row>
    <row r="224" spans="1:1" x14ac:dyDescent="0.2">
      <c r="A224" s="52" t="s">
        <v>453</v>
      </c>
    </row>
    <row r="225" spans="1:1" x14ac:dyDescent="0.2">
      <c r="A225" s="52" t="s">
        <v>151</v>
      </c>
    </row>
    <row r="226" spans="1:1" x14ac:dyDescent="0.2">
      <c r="A226" s="52" t="s">
        <v>381</v>
      </c>
    </row>
    <row r="227" spans="1:1" x14ac:dyDescent="0.2">
      <c r="A227" s="52" t="s">
        <v>152</v>
      </c>
    </row>
    <row r="228" spans="1:1" x14ac:dyDescent="0.2">
      <c r="A228" s="52" t="s">
        <v>389</v>
      </c>
    </row>
    <row r="229" spans="1:1" x14ac:dyDescent="0.2">
      <c r="A229" s="52" t="s">
        <v>699</v>
      </c>
    </row>
    <row r="230" spans="1:1" x14ac:dyDescent="0.2">
      <c r="A230" s="52" t="s">
        <v>153</v>
      </c>
    </row>
    <row r="231" spans="1:1" x14ac:dyDescent="0.2">
      <c r="A231" s="52" t="s">
        <v>154</v>
      </c>
    </row>
    <row r="232" spans="1:1" x14ac:dyDescent="0.2">
      <c r="A232" s="52" t="s">
        <v>155</v>
      </c>
    </row>
    <row r="233" spans="1:1" x14ac:dyDescent="0.2">
      <c r="A233" s="52" t="s">
        <v>454</v>
      </c>
    </row>
    <row r="234" spans="1:1" x14ac:dyDescent="0.2">
      <c r="A234" s="52" t="s">
        <v>156</v>
      </c>
    </row>
    <row r="235" spans="1:1" x14ac:dyDescent="0.2">
      <c r="A235" s="52" t="s">
        <v>157</v>
      </c>
    </row>
    <row r="236" spans="1:1" x14ac:dyDescent="0.2">
      <c r="A236" s="52" t="s">
        <v>158</v>
      </c>
    </row>
    <row r="237" spans="1:1" x14ac:dyDescent="0.2">
      <c r="A237" s="52" t="s">
        <v>455</v>
      </c>
    </row>
    <row r="238" spans="1:1" x14ac:dyDescent="0.2">
      <c r="A238" s="52" t="s">
        <v>697</v>
      </c>
    </row>
    <row r="239" spans="1:1" x14ac:dyDescent="0.2">
      <c r="A239" s="52" t="s">
        <v>456</v>
      </c>
    </row>
    <row r="240" spans="1:1" x14ac:dyDescent="0.2">
      <c r="A240" s="52" t="s">
        <v>354</v>
      </c>
    </row>
    <row r="241" spans="1:1" x14ac:dyDescent="0.2">
      <c r="A241" s="52" t="s">
        <v>457</v>
      </c>
    </row>
    <row r="242" spans="1:1" x14ac:dyDescent="0.2">
      <c r="A242" s="52" t="s">
        <v>458</v>
      </c>
    </row>
    <row r="243" spans="1:1" x14ac:dyDescent="0.2">
      <c r="A243" s="52" t="s">
        <v>159</v>
      </c>
    </row>
    <row r="244" spans="1:1" x14ac:dyDescent="0.2">
      <c r="A244" s="52" t="s">
        <v>665</v>
      </c>
    </row>
    <row r="245" spans="1:1" x14ac:dyDescent="0.2">
      <c r="A245" s="52" t="s">
        <v>160</v>
      </c>
    </row>
    <row r="246" spans="1:1" x14ac:dyDescent="0.2">
      <c r="A246" s="52" t="s">
        <v>386</v>
      </c>
    </row>
    <row r="247" spans="1:1" x14ac:dyDescent="0.2">
      <c r="A247" s="52" t="s">
        <v>161</v>
      </c>
    </row>
    <row r="248" spans="1:1" x14ac:dyDescent="0.2">
      <c r="A248" s="52" t="s">
        <v>407</v>
      </c>
    </row>
    <row r="249" spans="1:1" x14ac:dyDescent="0.2">
      <c r="A249" s="52" t="s">
        <v>355</v>
      </c>
    </row>
    <row r="250" spans="1:1" x14ac:dyDescent="0.2">
      <c r="A250" s="52" t="s">
        <v>460</v>
      </c>
    </row>
    <row r="251" spans="1:1" x14ac:dyDescent="0.2">
      <c r="A251" s="52" t="s">
        <v>461</v>
      </c>
    </row>
    <row r="252" spans="1:1" x14ac:dyDescent="0.2">
      <c r="A252" s="52" t="s">
        <v>356</v>
      </c>
    </row>
    <row r="253" spans="1:1" x14ac:dyDescent="0.2">
      <c r="A253" s="52" t="s">
        <v>426</v>
      </c>
    </row>
    <row r="254" spans="1:1" x14ac:dyDescent="0.2">
      <c r="A254" s="52" t="s">
        <v>162</v>
      </c>
    </row>
    <row r="255" spans="1:1" x14ac:dyDescent="0.2">
      <c r="A255" s="52" t="s">
        <v>333</v>
      </c>
    </row>
    <row r="256" spans="1:1" x14ac:dyDescent="0.2">
      <c r="A256" s="52" t="s">
        <v>357</v>
      </c>
    </row>
    <row r="257" spans="1:1" x14ac:dyDescent="0.2">
      <c r="A257" s="52" t="s">
        <v>163</v>
      </c>
    </row>
    <row r="258" spans="1:1" x14ac:dyDescent="0.2">
      <c r="A258" s="52" t="s">
        <v>462</v>
      </c>
    </row>
    <row r="259" spans="1:1" x14ac:dyDescent="0.2">
      <c r="A259" s="52" t="s">
        <v>164</v>
      </c>
    </row>
    <row r="260" spans="1:1" x14ac:dyDescent="0.2">
      <c r="A260" s="52" t="s">
        <v>165</v>
      </c>
    </row>
    <row r="261" spans="1:1" x14ac:dyDescent="0.2">
      <c r="A261" s="52" t="s">
        <v>358</v>
      </c>
    </row>
    <row r="262" spans="1:1" x14ac:dyDescent="0.2">
      <c r="A262" s="52" t="s">
        <v>166</v>
      </c>
    </row>
    <row r="263" spans="1:1" x14ac:dyDescent="0.2">
      <c r="A263" s="52" t="s">
        <v>463</v>
      </c>
    </row>
    <row r="264" spans="1:1" x14ac:dyDescent="0.2">
      <c r="A264" s="52" t="s">
        <v>167</v>
      </c>
    </row>
    <row r="265" spans="1:1" x14ac:dyDescent="0.2">
      <c r="A265" s="52" t="s">
        <v>385</v>
      </c>
    </row>
    <row r="266" spans="1:1" x14ac:dyDescent="0.2">
      <c r="A266" s="52" t="s">
        <v>464</v>
      </c>
    </row>
    <row r="267" spans="1:1" x14ac:dyDescent="0.2">
      <c r="A267" s="52" t="s">
        <v>465</v>
      </c>
    </row>
    <row r="268" spans="1:1" x14ac:dyDescent="0.2">
      <c r="A268" s="52" t="s">
        <v>382</v>
      </c>
    </row>
    <row r="269" spans="1:1" x14ac:dyDescent="0.2">
      <c r="A269" s="52" t="s">
        <v>696</v>
      </c>
    </row>
    <row r="270" spans="1:1" x14ac:dyDescent="0.2">
      <c r="A270" s="52" t="s">
        <v>168</v>
      </c>
    </row>
    <row r="271" spans="1:1" x14ac:dyDescent="0.2">
      <c r="A271" s="52" t="s">
        <v>466</v>
      </c>
    </row>
    <row r="272" spans="1:1" x14ac:dyDescent="0.2">
      <c r="A272" s="52" t="s">
        <v>359</v>
      </c>
    </row>
    <row r="273" spans="1:1" x14ac:dyDescent="0.2">
      <c r="A273" s="52" t="s">
        <v>467</v>
      </c>
    </row>
    <row r="274" spans="1:1" x14ac:dyDescent="0.2">
      <c r="A274" s="52" t="s">
        <v>394</v>
      </c>
    </row>
    <row r="275" spans="1:1" x14ac:dyDescent="0.2">
      <c r="A275" s="52" t="s">
        <v>169</v>
      </c>
    </row>
    <row r="276" spans="1:1" x14ac:dyDescent="0.2">
      <c r="A276" s="52" t="s">
        <v>360</v>
      </c>
    </row>
    <row r="277" spans="1:1" x14ac:dyDescent="0.2">
      <c r="A277" s="52" t="s">
        <v>468</v>
      </c>
    </row>
    <row r="278" spans="1:1" x14ac:dyDescent="0.2">
      <c r="A278" s="52" t="s">
        <v>469</v>
      </c>
    </row>
    <row r="279" spans="1:1" x14ac:dyDescent="0.2">
      <c r="A279" s="52" t="s">
        <v>170</v>
      </c>
    </row>
    <row r="280" spans="1:1" x14ac:dyDescent="0.2">
      <c r="A280" s="52" t="s">
        <v>361</v>
      </c>
    </row>
    <row r="281" spans="1:1" x14ac:dyDescent="0.2">
      <c r="A281" s="52" t="s">
        <v>171</v>
      </c>
    </row>
    <row r="282" spans="1:1" x14ac:dyDescent="0.2">
      <c r="A282" s="52" t="s">
        <v>470</v>
      </c>
    </row>
    <row r="283" spans="1:1" x14ac:dyDescent="0.2">
      <c r="A283" s="52" t="s">
        <v>172</v>
      </c>
    </row>
    <row r="284" spans="1:1" x14ac:dyDescent="0.2">
      <c r="A284" s="52" t="s">
        <v>173</v>
      </c>
    </row>
    <row r="285" spans="1:1" x14ac:dyDescent="0.2">
      <c r="A285" s="52" t="s">
        <v>337</v>
      </c>
    </row>
    <row r="286" spans="1:1" x14ac:dyDescent="0.2">
      <c r="A286" s="52" t="s">
        <v>471</v>
      </c>
    </row>
    <row r="287" spans="1:1" x14ac:dyDescent="0.2">
      <c r="A287" s="52" t="s">
        <v>472</v>
      </c>
    </row>
    <row r="288" spans="1:1" x14ac:dyDescent="0.2">
      <c r="A288" s="52" t="s">
        <v>174</v>
      </c>
    </row>
    <row r="289" spans="1:1" x14ac:dyDescent="0.2">
      <c r="A289" s="52" t="s">
        <v>473</v>
      </c>
    </row>
    <row r="290" spans="1:1" x14ac:dyDescent="0.2">
      <c r="A290" s="52" t="s">
        <v>474</v>
      </c>
    </row>
    <row r="291" spans="1:1" x14ac:dyDescent="0.2">
      <c r="A291" s="52" t="s">
        <v>175</v>
      </c>
    </row>
    <row r="292" spans="1:1" x14ac:dyDescent="0.2">
      <c r="A292" s="52" t="s">
        <v>176</v>
      </c>
    </row>
    <row r="293" spans="1:1" x14ac:dyDescent="0.2">
      <c r="A293" s="52" t="s">
        <v>475</v>
      </c>
    </row>
    <row r="294" spans="1:1" x14ac:dyDescent="0.2">
      <c r="A294" s="52" t="s">
        <v>476</v>
      </c>
    </row>
    <row r="295" spans="1:1" x14ac:dyDescent="0.2">
      <c r="A295" s="52" t="s">
        <v>177</v>
      </c>
    </row>
    <row r="296" spans="1:1" x14ac:dyDescent="0.2">
      <c r="A296" s="52" t="s">
        <v>477</v>
      </c>
    </row>
    <row r="297" spans="1:1" x14ac:dyDescent="0.2">
      <c r="A297" s="52" t="s">
        <v>178</v>
      </c>
    </row>
    <row r="298" spans="1:1" x14ac:dyDescent="0.2">
      <c r="A298" s="52" t="s">
        <v>478</v>
      </c>
    </row>
    <row r="299" spans="1:1" x14ac:dyDescent="0.2">
      <c r="A299" s="52" t="s">
        <v>479</v>
      </c>
    </row>
    <row r="300" spans="1:1" x14ac:dyDescent="0.2">
      <c r="A300" s="52" t="s">
        <v>480</v>
      </c>
    </row>
    <row r="301" spans="1:1" x14ac:dyDescent="0.2">
      <c r="A301" s="52" t="s">
        <v>179</v>
      </c>
    </row>
    <row r="302" spans="1:1" x14ac:dyDescent="0.2">
      <c r="A302" s="52" t="s">
        <v>180</v>
      </c>
    </row>
    <row r="303" spans="1:1" x14ac:dyDescent="0.2">
      <c r="A303" s="52" t="s">
        <v>181</v>
      </c>
    </row>
    <row r="304" spans="1:1" x14ac:dyDescent="0.2">
      <c r="A304" s="52" t="s">
        <v>182</v>
      </c>
    </row>
    <row r="305" spans="1:1" x14ac:dyDescent="0.2">
      <c r="A305" s="52" t="s">
        <v>183</v>
      </c>
    </row>
    <row r="306" spans="1:1" x14ac:dyDescent="0.2">
      <c r="A306" s="52" t="s">
        <v>184</v>
      </c>
    </row>
    <row r="307" spans="1:1" x14ac:dyDescent="0.2">
      <c r="A307" s="52" t="s">
        <v>185</v>
      </c>
    </row>
    <row r="308" spans="1:1" x14ac:dyDescent="0.2">
      <c r="A308" s="52" t="s">
        <v>481</v>
      </c>
    </row>
    <row r="309" spans="1:1" x14ac:dyDescent="0.2">
      <c r="A309" s="52" t="s">
        <v>186</v>
      </c>
    </row>
    <row r="310" spans="1:1" x14ac:dyDescent="0.2">
      <c r="A310" s="52" t="s">
        <v>482</v>
      </c>
    </row>
    <row r="311" spans="1:1" x14ac:dyDescent="0.2">
      <c r="A311" s="52" t="s">
        <v>483</v>
      </c>
    </row>
    <row r="312" spans="1:1" x14ac:dyDescent="0.2">
      <c r="A312" s="52" t="s">
        <v>484</v>
      </c>
    </row>
    <row r="313" spans="1:1" x14ac:dyDescent="0.2">
      <c r="A313" s="52" t="s">
        <v>485</v>
      </c>
    </row>
    <row r="314" spans="1:1" x14ac:dyDescent="0.2">
      <c r="A314" s="52" t="s">
        <v>187</v>
      </c>
    </row>
    <row r="315" spans="1:1" x14ac:dyDescent="0.2">
      <c r="A315" s="52" t="s">
        <v>486</v>
      </c>
    </row>
    <row r="316" spans="1:1" x14ac:dyDescent="0.2">
      <c r="A316" s="52" t="s">
        <v>487</v>
      </c>
    </row>
    <row r="317" spans="1:1" x14ac:dyDescent="0.2">
      <c r="A317" s="52" t="s">
        <v>488</v>
      </c>
    </row>
    <row r="318" spans="1:1" x14ac:dyDescent="0.2">
      <c r="A318" s="52" t="s">
        <v>489</v>
      </c>
    </row>
    <row r="319" spans="1:1" x14ac:dyDescent="0.2">
      <c r="A319" s="52" t="s">
        <v>490</v>
      </c>
    </row>
    <row r="320" spans="1:1" x14ac:dyDescent="0.2">
      <c r="A320" s="52" t="s">
        <v>491</v>
      </c>
    </row>
    <row r="321" spans="1:1" x14ac:dyDescent="0.2">
      <c r="A321" s="52" t="s">
        <v>492</v>
      </c>
    </row>
    <row r="322" spans="1:1" x14ac:dyDescent="0.2">
      <c r="A322" s="52" t="s">
        <v>493</v>
      </c>
    </row>
    <row r="323" spans="1:1" x14ac:dyDescent="0.2">
      <c r="A323" s="52" t="s">
        <v>494</v>
      </c>
    </row>
    <row r="324" spans="1:1" x14ac:dyDescent="0.2">
      <c r="A324" s="52" t="s">
        <v>188</v>
      </c>
    </row>
    <row r="325" spans="1:1" x14ac:dyDescent="0.2">
      <c r="A325" s="52" t="s">
        <v>495</v>
      </c>
    </row>
    <row r="326" spans="1:1" x14ac:dyDescent="0.2">
      <c r="A326" s="52" t="s">
        <v>496</v>
      </c>
    </row>
    <row r="327" spans="1:1" x14ac:dyDescent="0.2">
      <c r="A327" s="52" t="s">
        <v>497</v>
      </c>
    </row>
    <row r="328" spans="1:1" x14ac:dyDescent="0.2">
      <c r="A328" s="52" t="s">
        <v>189</v>
      </c>
    </row>
    <row r="329" spans="1:1" x14ac:dyDescent="0.2">
      <c r="A329" s="52" t="s">
        <v>498</v>
      </c>
    </row>
    <row r="330" spans="1:1" x14ac:dyDescent="0.2">
      <c r="A330" s="52" t="s">
        <v>190</v>
      </c>
    </row>
    <row r="331" spans="1:1" x14ac:dyDescent="0.2">
      <c r="A331" s="52" t="s">
        <v>191</v>
      </c>
    </row>
    <row r="332" spans="1:1" x14ac:dyDescent="0.2">
      <c r="A332" s="52" t="s">
        <v>499</v>
      </c>
    </row>
    <row r="333" spans="1:1" x14ac:dyDescent="0.2">
      <c r="A333" s="52" t="s">
        <v>500</v>
      </c>
    </row>
    <row r="334" spans="1:1" x14ac:dyDescent="0.2">
      <c r="A334" s="52" t="s">
        <v>192</v>
      </c>
    </row>
    <row r="335" spans="1:1" x14ac:dyDescent="0.2">
      <c r="A335" s="52" t="s">
        <v>501</v>
      </c>
    </row>
    <row r="336" spans="1:1" x14ac:dyDescent="0.2">
      <c r="A336" s="52" t="s">
        <v>502</v>
      </c>
    </row>
    <row r="337" spans="1:1" x14ac:dyDescent="0.2">
      <c r="A337" s="52" t="s">
        <v>678</v>
      </c>
    </row>
    <row r="338" spans="1:1" x14ac:dyDescent="0.2">
      <c r="A338" s="52" t="s">
        <v>503</v>
      </c>
    </row>
    <row r="339" spans="1:1" x14ac:dyDescent="0.2">
      <c r="A339" s="52" t="s">
        <v>504</v>
      </c>
    </row>
    <row r="340" spans="1:1" x14ac:dyDescent="0.2">
      <c r="A340" s="52" t="s">
        <v>505</v>
      </c>
    </row>
    <row r="341" spans="1:1" x14ac:dyDescent="0.2">
      <c r="A341" s="52" t="s">
        <v>506</v>
      </c>
    </row>
    <row r="342" spans="1:1" x14ac:dyDescent="0.2">
      <c r="A342" s="52" t="s">
        <v>507</v>
      </c>
    </row>
    <row r="343" spans="1:1" x14ac:dyDescent="0.2">
      <c r="A343" s="52" t="s">
        <v>508</v>
      </c>
    </row>
    <row r="344" spans="1:1" x14ac:dyDescent="0.2">
      <c r="A344" s="52" t="s">
        <v>509</v>
      </c>
    </row>
    <row r="345" spans="1:1" x14ac:dyDescent="0.2">
      <c r="A345" s="52" t="s">
        <v>510</v>
      </c>
    </row>
    <row r="346" spans="1:1" x14ac:dyDescent="0.2">
      <c r="A346" s="52" t="s">
        <v>193</v>
      </c>
    </row>
    <row r="347" spans="1:1" x14ac:dyDescent="0.2">
      <c r="A347" s="52" t="s">
        <v>194</v>
      </c>
    </row>
    <row r="348" spans="1:1" x14ac:dyDescent="0.2">
      <c r="A348" s="52" t="s">
        <v>511</v>
      </c>
    </row>
    <row r="349" spans="1:1" x14ac:dyDescent="0.2">
      <c r="A349" s="52" t="s">
        <v>512</v>
      </c>
    </row>
    <row r="350" spans="1:1" x14ac:dyDescent="0.2">
      <c r="A350" s="52" t="s">
        <v>513</v>
      </c>
    </row>
    <row r="351" spans="1:1" x14ac:dyDescent="0.2">
      <c r="A351" s="52" t="s">
        <v>195</v>
      </c>
    </row>
    <row r="352" spans="1:1" x14ac:dyDescent="0.2">
      <c r="A352" s="52" t="s">
        <v>514</v>
      </c>
    </row>
    <row r="353" spans="1:1" x14ac:dyDescent="0.2">
      <c r="A353" s="52" t="s">
        <v>196</v>
      </c>
    </row>
    <row r="354" spans="1:1" x14ac:dyDescent="0.2">
      <c r="A354" s="52" t="s">
        <v>197</v>
      </c>
    </row>
    <row r="355" spans="1:1" x14ac:dyDescent="0.2">
      <c r="A355" s="52" t="s">
        <v>198</v>
      </c>
    </row>
    <row r="356" spans="1:1" x14ac:dyDescent="0.2">
      <c r="A356" s="52" t="s">
        <v>515</v>
      </c>
    </row>
    <row r="357" spans="1:1" x14ac:dyDescent="0.2">
      <c r="A357" s="52" t="s">
        <v>199</v>
      </c>
    </row>
    <row r="358" spans="1:1" x14ac:dyDescent="0.2">
      <c r="A358" s="52" t="s">
        <v>200</v>
      </c>
    </row>
    <row r="359" spans="1:1" x14ac:dyDescent="0.2">
      <c r="A359" s="52" t="s">
        <v>201</v>
      </c>
    </row>
    <row r="360" spans="1:1" x14ac:dyDescent="0.2">
      <c r="A360" s="52" t="s">
        <v>516</v>
      </c>
    </row>
    <row r="361" spans="1:1" x14ac:dyDescent="0.2">
      <c r="A361" s="52" t="s">
        <v>202</v>
      </c>
    </row>
    <row r="362" spans="1:1" x14ac:dyDescent="0.2">
      <c r="A362" s="52" t="s">
        <v>517</v>
      </c>
    </row>
    <row r="363" spans="1:1" x14ac:dyDescent="0.2">
      <c r="A363" s="52" t="s">
        <v>518</v>
      </c>
    </row>
    <row r="364" spans="1:1" x14ac:dyDescent="0.2">
      <c r="A364" s="52" t="s">
        <v>519</v>
      </c>
    </row>
    <row r="365" spans="1:1" x14ac:dyDescent="0.2">
      <c r="A365" s="52" t="s">
        <v>520</v>
      </c>
    </row>
    <row r="366" spans="1:1" x14ac:dyDescent="0.2">
      <c r="A366" s="52" t="s">
        <v>521</v>
      </c>
    </row>
    <row r="367" spans="1:1" x14ac:dyDescent="0.2">
      <c r="A367" s="52" t="s">
        <v>522</v>
      </c>
    </row>
    <row r="368" spans="1:1" x14ac:dyDescent="0.2">
      <c r="A368" s="52" t="s">
        <v>523</v>
      </c>
    </row>
    <row r="369" spans="1:1" x14ac:dyDescent="0.2">
      <c r="A369" s="52" t="s">
        <v>524</v>
      </c>
    </row>
    <row r="370" spans="1:1" x14ac:dyDescent="0.2">
      <c r="A370" s="52" t="s">
        <v>525</v>
      </c>
    </row>
    <row r="371" spans="1:1" x14ac:dyDescent="0.2">
      <c r="A371" s="52" t="s">
        <v>526</v>
      </c>
    </row>
    <row r="372" spans="1:1" x14ac:dyDescent="0.2">
      <c r="A372" s="52" t="s">
        <v>527</v>
      </c>
    </row>
    <row r="373" spans="1:1" x14ac:dyDescent="0.2">
      <c r="A373" s="52" t="s">
        <v>203</v>
      </c>
    </row>
    <row r="374" spans="1:1" x14ac:dyDescent="0.2">
      <c r="A374" s="52" t="s">
        <v>528</v>
      </c>
    </row>
    <row r="375" spans="1:1" x14ac:dyDescent="0.2">
      <c r="A375" s="52" t="s">
        <v>204</v>
      </c>
    </row>
    <row r="376" spans="1:1" x14ac:dyDescent="0.2">
      <c r="A376" s="52" t="s">
        <v>529</v>
      </c>
    </row>
    <row r="377" spans="1:1" x14ac:dyDescent="0.2">
      <c r="A377" s="52" t="s">
        <v>205</v>
      </c>
    </row>
    <row r="378" spans="1:1" x14ac:dyDescent="0.2">
      <c r="A378" s="52" t="s">
        <v>206</v>
      </c>
    </row>
    <row r="379" spans="1:1" x14ac:dyDescent="0.2">
      <c r="A379" s="52" t="s">
        <v>207</v>
      </c>
    </row>
    <row r="380" spans="1:1" x14ac:dyDescent="0.2">
      <c r="A380" s="52" t="s">
        <v>208</v>
      </c>
    </row>
    <row r="381" spans="1:1" x14ac:dyDescent="0.2">
      <c r="A381" s="52" t="s">
        <v>530</v>
      </c>
    </row>
    <row r="382" spans="1:1" x14ac:dyDescent="0.2">
      <c r="A382" s="52" t="s">
        <v>531</v>
      </c>
    </row>
    <row r="383" spans="1:1" x14ac:dyDescent="0.2">
      <c r="A383" s="52" t="s">
        <v>532</v>
      </c>
    </row>
    <row r="384" spans="1:1" x14ac:dyDescent="0.2">
      <c r="A384" s="52" t="s">
        <v>209</v>
      </c>
    </row>
    <row r="385" spans="1:1" x14ac:dyDescent="0.2">
      <c r="A385" s="52" t="s">
        <v>533</v>
      </c>
    </row>
    <row r="386" spans="1:1" x14ac:dyDescent="0.2">
      <c r="A386" s="52" t="s">
        <v>534</v>
      </c>
    </row>
    <row r="387" spans="1:1" x14ac:dyDescent="0.2">
      <c r="A387" s="52" t="s">
        <v>535</v>
      </c>
    </row>
    <row r="388" spans="1:1" x14ac:dyDescent="0.2">
      <c r="A388" s="52" t="s">
        <v>536</v>
      </c>
    </row>
    <row r="389" spans="1:1" x14ac:dyDescent="0.2">
      <c r="A389" s="52" t="s">
        <v>537</v>
      </c>
    </row>
    <row r="390" spans="1:1" x14ac:dyDescent="0.2">
      <c r="A390" s="52" t="s">
        <v>538</v>
      </c>
    </row>
    <row r="391" spans="1:1" x14ac:dyDescent="0.2">
      <c r="A391" s="52" t="s">
        <v>539</v>
      </c>
    </row>
    <row r="392" spans="1:1" x14ac:dyDescent="0.2">
      <c r="A392" s="52" t="s">
        <v>540</v>
      </c>
    </row>
    <row r="393" spans="1:1" x14ac:dyDescent="0.2">
      <c r="A393" s="52" t="s">
        <v>210</v>
      </c>
    </row>
    <row r="394" spans="1:1" x14ac:dyDescent="0.2">
      <c r="A394" s="52" t="s">
        <v>211</v>
      </c>
    </row>
    <row r="395" spans="1:1" x14ac:dyDescent="0.2">
      <c r="A395" s="52" t="s">
        <v>541</v>
      </c>
    </row>
    <row r="396" spans="1:1" x14ac:dyDescent="0.2">
      <c r="A396" s="52" t="s">
        <v>542</v>
      </c>
    </row>
    <row r="397" spans="1:1" x14ac:dyDescent="0.2">
      <c r="A397" s="52" t="s">
        <v>212</v>
      </c>
    </row>
    <row r="398" spans="1:1" x14ac:dyDescent="0.2">
      <c r="A398" s="52" t="s">
        <v>543</v>
      </c>
    </row>
    <row r="399" spans="1:1" x14ac:dyDescent="0.2">
      <c r="A399" s="52" t="s">
        <v>213</v>
      </c>
    </row>
    <row r="400" spans="1:1" x14ac:dyDescent="0.2">
      <c r="A400" s="52" t="s">
        <v>544</v>
      </c>
    </row>
    <row r="401" spans="1:1" x14ac:dyDescent="0.2">
      <c r="A401" s="52" t="s">
        <v>545</v>
      </c>
    </row>
    <row r="402" spans="1:1" x14ac:dyDescent="0.2">
      <c r="A402" s="52" t="s">
        <v>546</v>
      </c>
    </row>
    <row r="403" spans="1:1" x14ac:dyDescent="0.2">
      <c r="A403" s="52" t="s">
        <v>214</v>
      </c>
    </row>
    <row r="404" spans="1:1" x14ac:dyDescent="0.2">
      <c r="A404" s="52" t="s">
        <v>547</v>
      </c>
    </row>
    <row r="405" spans="1:1" x14ac:dyDescent="0.2">
      <c r="A405" s="52" t="s">
        <v>548</v>
      </c>
    </row>
    <row r="406" spans="1:1" x14ac:dyDescent="0.2">
      <c r="A406" s="52" t="s">
        <v>215</v>
      </c>
    </row>
    <row r="407" spans="1:1" x14ac:dyDescent="0.2">
      <c r="A407" s="52" t="s">
        <v>216</v>
      </c>
    </row>
    <row r="408" spans="1:1" x14ac:dyDescent="0.2">
      <c r="A408" s="52" t="s">
        <v>549</v>
      </c>
    </row>
    <row r="409" spans="1:1" x14ac:dyDescent="0.2">
      <c r="A409" s="52" t="s">
        <v>217</v>
      </c>
    </row>
    <row r="410" spans="1:1" x14ac:dyDescent="0.2">
      <c r="A410" s="52" t="s">
        <v>218</v>
      </c>
    </row>
    <row r="411" spans="1:1" x14ac:dyDescent="0.2">
      <c r="A411" s="52" t="s">
        <v>550</v>
      </c>
    </row>
    <row r="412" spans="1:1" x14ac:dyDescent="0.2">
      <c r="A412" s="52" t="s">
        <v>219</v>
      </c>
    </row>
    <row r="413" spans="1:1" x14ac:dyDescent="0.2">
      <c r="A413" s="52" t="s">
        <v>551</v>
      </c>
    </row>
    <row r="414" spans="1:1" x14ac:dyDescent="0.2">
      <c r="A414" s="52" t="s">
        <v>220</v>
      </c>
    </row>
    <row r="415" spans="1:1" x14ac:dyDescent="0.2">
      <c r="A415" s="52" t="s">
        <v>552</v>
      </c>
    </row>
    <row r="416" spans="1:1" x14ac:dyDescent="0.2">
      <c r="A416" s="52" t="s">
        <v>553</v>
      </c>
    </row>
    <row r="417" spans="1:1" x14ac:dyDescent="0.2">
      <c r="A417" s="52" t="s">
        <v>554</v>
      </c>
    </row>
    <row r="418" spans="1:1" x14ac:dyDescent="0.2">
      <c r="A418" s="52" t="s">
        <v>555</v>
      </c>
    </row>
    <row r="419" spans="1:1" x14ac:dyDescent="0.2">
      <c r="A419" s="52" t="s">
        <v>556</v>
      </c>
    </row>
    <row r="420" spans="1:1" x14ac:dyDescent="0.2">
      <c r="A420" s="52" t="s">
        <v>557</v>
      </c>
    </row>
    <row r="421" spans="1:1" x14ac:dyDescent="0.2">
      <c r="A421" s="52" t="s">
        <v>558</v>
      </c>
    </row>
    <row r="422" spans="1:1" x14ac:dyDescent="0.2">
      <c r="A422" s="52" t="s">
        <v>221</v>
      </c>
    </row>
    <row r="423" spans="1:1" x14ac:dyDescent="0.2">
      <c r="A423" s="52" t="s">
        <v>559</v>
      </c>
    </row>
    <row r="424" spans="1:1" x14ac:dyDescent="0.2">
      <c r="A424" s="52" t="s">
        <v>560</v>
      </c>
    </row>
    <row r="425" spans="1:1" x14ac:dyDescent="0.2">
      <c r="A425" s="52" t="s">
        <v>561</v>
      </c>
    </row>
    <row r="426" spans="1:1" x14ac:dyDescent="0.2">
      <c r="A426" s="52" t="s">
        <v>562</v>
      </c>
    </row>
    <row r="427" spans="1:1" x14ac:dyDescent="0.2">
      <c r="A427" s="52" t="s">
        <v>222</v>
      </c>
    </row>
    <row r="428" spans="1:1" x14ac:dyDescent="0.2">
      <c r="A428" s="52" t="s">
        <v>563</v>
      </c>
    </row>
    <row r="429" spans="1:1" x14ac:dyDescent="0.2">
      <c r="A429" s="52" t="s">
        <v>223</v>
      </c>
    </row>
    <row r="430" spans="1:1" x14ac:dyDescent="0.2">
      <c r="A430" s="52" t="s">
        <v>564</v>
      </c>
    </row>
    <row r="431" spans="1:1" x14ac:dyDescent="0.2">
      <c r="A431" s="52" t="s">
        <v>565</v>
      </c>
    </row>
    <row r="432" spans="1:1" x14ac:dyDescent="0.2">
      <c r="A432" s="52" t="s">
        <v>566</v>
      </c>
    </row>
    <row r="433" spans="1:1" x14ac:dyDescent="0.2">
      <c r="A433" s="52" t="s">
        <v>567</v>
      </c>
    </row>
    <row r="434" spans="1:1" x14ac:dyDescent="0.2">
      <c r="A434" s="52" t="s">
        <v>568</v>
      </c>
    </row>
    <row r="435" spans="1:1" x14ac:dyDescent="0.2">
      <c r="A435" s="52" t="s">
        <v>569</v>
      </c>
    </row>
    <row r="436" spans="1:1" x14ac:dyDescent="0.2">
      <c r="A436" s="52" t="s">
        <v>570</v>
      </c>
    </row>
    <row r="437" spans="1:1" x14ac:dyDescent="0.2">
      <c r="A437" s="52" t="s">
        <v>571</v>
      </c>
    </row>
    <row r="438" spans="1:1" x14ac:dyDescent="0.2">
      <c r="A438" s="52" t="s">
        <v>224</v>
      </c>
    </row>
    <row r="439" spans="1:1" x14ac:dyDescent="0.2">
      <c r="A439" s="52" t="s">
        <v>572</v>
      </c>
    </row>
    <row r="440" spans="1:1" x14ac:dyDescent="0.2">
      <c r="A440" s="52" t="s">
        <v>573</v>
      </c>
    </row>
    <row r="441" spans="1:1" x14ac:dyDescent="0.2">
      <c r="A441" s="52" t="s">
        <v>574</v>
      </c>
    </row>
    <row r="442" spans="1:1" x14ac:dyDescent="0.2">
      <c r="A442" s="52" t="s">
        <v>575</v>
      </c>
    </row>
    <row r="443" spans="1:1" x14ac:dyDescent="0.2">
      <c r="A443" s="52" t="s">
        <v>576</v>
      </c>
    </row>
    <row r="444" spans="1:1" x14ac:dyDescent="0.2">
      <c r="A444" s="52" t="s">
        <v>577</v>
      </c>
    </row>
    <row r="445" spans="1:1" x14ac:dyDescent="0.2">
      <c r="A445" s="52" t="s">
        <v>225</v>
      </c>
    </row>
    <row r="446" spans="1:1" x14ac:dyDescent="0.2">
      <c r="A446" s="52" t="s">
        <v>226</v>
      </c>
    </row>
    <row r="447" spans="1:1" x14ac:dyDescent="0.2">
      <c r="A447" s="52" t="s">
        <v>227</v>
      </c>
    </row>
    <row r="448" spans="1:1" x14ac:dyDescent="0.2">
      <c r="A448" s="52" t="s">
        <v>228</v>
      </c>
    </row>
    <row r="449" spans="1:1" x14ac:dyDescent="0.2">
      <c r="A449" s="52" t="s">
        <v>229</v>
      </c>
    </row>
    <row r="450" spans="1:1" x14ac:dyDescent="0.2">
      <c r="A450" s="52" t="s">
        <v>578</v>
      </c>
    </row>
    <row r="451" spans="1:1" x14ac:dyDescent="0.2">
      <c r="A451" s="52" t="s">
        <v>579</v>
      </c>
    </row>
    <row r="452" spans="1:1" x14ac:dyDescent="0.2">
      <c r="A452" s="52" t="s">
        <v>580</v>
      </c>
    </row>
    <row r="453" spans="1:1" x14ac:dyDescent="0.2">
      <c r="A453" s="52" t="s">
        <v>581</v>
      </c>
    </row>
    <row r="454" spans="1:1" x14ac:dyDescent="0.2">
      <c r="A454" s="52" t="s">
        <v>582</v>
      </c>
    </row>
    <row r="455" spans="1:1" x14ac:dyDescent="0.2">
      <c r="A455" s="52" t="s">
        <v>583</v>
      </c>
    </row>
    <row r="456" spans="1:1" x14ac:dyDescent="0.2">
      <c r="A456" s="52" t="s">
        <v>584</v>
      </c>
    </row>
    <row r="457" spans="1:1" x14ac:dyDescent="0.2">
      <c r="A457" s="52" t="s">
        <v>230</v>
      </c>
    </row>
    <row r="458" spans="1:1" x14ac:dyDescent="0.2">
      <c r="A458" s="52" t="s">
        <v>585</v>
      </c>
    </row>
    <row r="459" spans="1:1" x14ac:dyDescent="0.2">
      <c r="A459" s="52" t="s">
        <v>231</v>
      </c>
    </row>
    <row r="460" spans="1:1" x14ac:dyDescent="0.2">
      <c r="A460" s="52" t="s">
        <v>586</v>
      </c>
    </row>
    <row r="461" spans="1:1" x14ac:dyDescent="0.2">
      <c r="A461" s="52" t="s">
        <v>232</v>
      </c>
    </row>
    <row r="462" spans="1:1" x14ac:dyDescent="0.2">
      <c r="A462" s="52" t="s">
        <v>233</v>
      </c>
    </row>
    <row r="463" spans="1:1" x14ac:dyDescent="0.2">
      <c r="A463" s="52" t="s">
        <v>587</v>
      </c>
    </row>
    <row r="464" spans="1:1" x14ac:dyDescent="0.2">
      <c r="A464" s="52" t="s">
        <v>338</v>
      </c>
    </row>
    <row r="465" spans="1:1" x14ac:dyDescent="0.2">
      <c r="A465" s="52" t="s">
        <v>588</v>
      </c>
    </row>
    <row r="466" spans="1:1" x14ac:dyDescent="0.2">
      <c r="A466" s="52" t="s">
        <v>589</v>
      </c>
    </row>
    <row r="467" spans="1:1" x14ac:dyDescent="0.2">
      <c r="A467" s="52" t="s">
        <v>590</v>
      </c>
    </row>
    <row r="468" spans="1:1" x14ac:dyDescent="0.2">
      <c r="A468" s="52" t="s">
        <v>234</v>
      </c>
    </row>
    <row r="469" spans="1:1" x14ac:dyDescent="0.2">
      <c r="A469" s="52" t="s">
        <v>591</v>
      </c>
    </row>
    <row r="470" spans="1:1" x14ac:dyDescent="0.2">
      <c r="A470" s="52" t="s">
        <v>235</v>
      </c>
    </row>
    <row r="471" spans="1:1" x14ac:dyDescent="0.2">
      <c r="A471" s="52" t="s">
        <v>592</v>
      </c>
    </row>
    <row r="472" spans="1:1" x14ac:dyDescent="0.2">
      <c r="A472" s="52" t="s">
        <v>236</v>
      </c>
    </row>
    <row r="473" spans="1:1" x14ac:dyDescent="0.2">
      <c r="A473" s="52" t="s">
        <v>237</v>
      </c>
    </row>
    <row r="474" spans="1:1" x14ac:dyDescent="0.2">
      <c r="A474" s="52" t="s">
        <v>593</v>
      </c>
    </row>
    <row r="475" spans="1:1" x14ac:dyDescent="0.2">
      <c r="A475" s="52" t="s">
        <v>238</v>
      </c>
    </row>
    <row r="476" spans="1:1" x14ac:dyDescent="0.2">
      <c r="A476" s="52" t="s">
        <v>239</v>
      </c>
    </row>
    <row r="477" spans="1:1" x14ac:dyDescent="0.2">
      <c r="A477" s="52" t="s">
        <v>594</v>
      </c>
    </row>
    <row r="478" spans="1:1" x14ac:dyDescent="0.2">
      <c r="A478" s="52" t="s">
        <v>240</v>
      </c>
    </row>
    <row r="479" spans="1:1" x14ac:dyDescent="0.2">
      <c r="A479" s="52" t="s">
        <v>595</v>
      </c>
    </row>
    <row r="480" spans="1:1" x14ac:dyDescent="0.2">
      <c r="A480" s="52" t="s">
        <v>241</v>
      </c>
    </row>
    <row r="481" spans="1:1" x14ac:dyDescent="0.2">
      <c r="A481" s="52" t="s">
        <v>596</v>
      </c>
    </row>
    <row r="482" spans="1:1" x14ac:dyDescent="0.2">
      <c r="A482" s="52" t="s">
        <v>597</v>
      </c>
    </row>
    <row r="483" spans="1:1" x14ac:dyDescent="0.2">
      <c r="A483" s="52" t="s">
        <v>242</v>
      </c>
    </row>
    <row r="484" spans="1:1" x14ac:dyDescent="0.2">
      <c r="A484" s="52" t="s">
        <v>243</v>
      </c>
    </row>
    <row r="485" spans="1:1" x14ac:dyDescent="0.2">
      <c r="A485" s="52" t="s">
        <v>244</v>
      </c>
    </row>
    <row r="486" spans="1:1" x14ac:dyDescent="0.2">
      <c r="A486" s="52" t="s">
        <v>245</v>
      </c>
    </row>
    <row r="487" spans="1:1" x14ac:dyDescent="0.2">
      <c r="A487" s="52" t="s">
        <v>598</v>
      </c>
    </row>
    <row r="488" spans="1:1" x14ac:dyDescent="0.2">
      <c r="A488" s="52" t="s">
        <v>599</v>
      </c>
    </row>
    <row r="489" spans="1:1" x14ac:dyDescent="0.2">
      <c r="A489" s="52" t="s">
        <v>600</v>
      </c>
    </row>
    <row r="490" spans="1:1" x14ac:dyDescent="0.2">
      <c r="A490" s="52" t="s">
        <v>246</v>
      </c>
    </row>
    <row r="491" spans="1:1" x14ac:dyDescent="0.2">
      <c r="A491" s="52" t="s">
        <v>601</v>
      </c>
    </row>
    <row r="492" spans="1:1" x14ac:dyDescent="0.2">
      <c r="A492" s="52" t="s">
        <v>602</v>
      </c>
    </row>
    <row r="493" spans="1:1" x14ac:dyDescent="0.2">
      <c r="A493" s="52" t="s">
        <v>603</v>
      </c>
    </row>
    <row r="494" spans="1:1" x14ac:dyDescent="0.2">
      <c r="A494" s="52" t="s">
        <v>247</v>
      </c>
    </row>
    <row r="495" spans="1:1" x14ac:dyDescent="0.2">
      <c r="A495" s="52" t="s">
        <v>688</v>
      </c>
    </row>
    <row r="496" spans="1:1" x14ac:dyDescent="0.2">
      <c r="A496" s="52" t="s">
        <v>248</v>
      </c>
    </row>
    <row r="497" spans="1:1" x14ac:dyDescent="0.2">
      <c r="A497" s="52" t="s">
        <v>249</v>
      </c>
    </row>
    <row r="498" spans="1:1" x14ac:dyDescent="0.2">
      <c r="A498" s="52" t="s">
        <v>250</v>
      </c>
    </row>
    <row r="499" spans="1:1" x14ac:dyDescent="0.2">
      <c r="A499" s="52" t="s">
        <v>251</v>
      </c>
    </row>
    <row r="500" spans="1:1" x14ac:dyDescent="0.2">
      <c r="A500" s="52" t="s">
        <v>252</v>
      </c>
    </row>
    <row r="501" spans="1:1" x14ac:dyDescent="0.2">
      <c r="A501" s="52" t="s">
        <v>604</v>
      </c>
    </row>
    <row r="502" spans="1:1" x14ac:dyDescent="0.2">
      <c r="A502" s="52" t="s">
        <v>253</v>
      </c>
    </row>
    <row r="503" spans="1:1" x14ac:dyDescent="0.2">
      <c r="A503" s="52" t="s">
        <v>605</v>
      </c>
    </row>
    <row r="504" spans="1:1" x14ac:dyDescent="0.2">
      <c r="A504" s="52" t="s">
        <v>606</v>
      </c>
    </row>
    <row r="505" spans="1:1" x14ac:dyDescent="0.2">
      <c r="A505" s="52" t="s">
        <v>607</v>
      </c>
    </row>
    <row r="506" spans="1:1" x14ac:dyDescent="0.2">
      <c r="A506" s="52" t="s">
        <v>608</v>
      </c>
    </row>
    <row r="507" spans="1:1" x14ac:dyDescent="0.2">
      <c r="A507" s="52" t="s">
        <v>254</v>
      </c>
    </row>
    <row r="508" spans="1:1" x14ac:dyDescent="0.2">
      <c r="A508" s="52" t="s">
        <v>255</v>
      </c>
    </row>
    <row r="509" spans="1:1" x14ac:dyDescent="0.2">
      <c r="A509" s="52" t="s">
        <v>256</v>
      </c>
    </row>
    <row r="510" spans="1:1" x14ac:dyDescent="0.2">
      <c r="A510" s="52" t="s">
        <v>362</v>
      </c>
    </row>
    <row r="511" spans="1:1" x14ac:dyDescent="0.2">
      <c r="A511" s="52" t="s">
        <v>257</v>
      </c>
    </row>
    <row r="512" spans="1:1" x14ac:dyDescent="0.2">
      <c r="A512" s="52" t="s">
        <v>258</v>
      </c>
    </row>
    <row r="513" spans="1:1" x14ac:dyDescent="0.2">
      <c r="A513" s="52" t="s">
        <v>609</v>
      </c>
    </row>
    <row r="514" spans="1:1" x14ac:dyDescent="0.2">
      <c r="A514" s="52" t="s">
        <v>610</v>
      </c>
    </row>
    <row r="515" spans="1:1" x14ac:dyDescent="0.2">
      <c r="A515" s="52" t="s">
        <v>611</v>
      </c>
    </row>
    <row r="516" spans="1:1" x14ac:dyDescent="0.2">
      <c r="A516" s="52" t="s">
        <v>259</v>
      </c>
    </row>
    <row r="517" spans="1:1" x14ac:dyDescent="0.2">
      <c r="A517" s="52" t="s">
        <v>260</v>
      </c>
    </row>
    <row r="518" spans="1:1" x14ac:dyDescent="0.2">
      <c r="A518" s="52" t="s">
        <v>612</v>
      </c>
    </row>
    <row r="519" spans="1:1" x14ac:dyDescent="0.2">
      <c r="A519" s="52" t="s">
        <v>613</v>
      </c>
    </row>
    <row r="520" spans="1:1" x14ac:dyDescent="0.2">
      <c r="A520" s="52" t="s">
        <v>614</v>
      </c>
    </row>
    <row r="521" spans="1:1" x14ac:dyDescent="0.2">
      <c r="A521" s="52" t="s">
        <v>261</v>
      </c>
    </row>
    <row r="522" spans="1:1" x14ac:dyDescent="0.2">
      <c r="A522" s="52" t="s">
        <v>262</v>
      </c>
    </row>
    <row r="523" spans="1:1" x14ac:dyDescent="0.2">
      <c r="A523" s="52" t="s">
        <v>615</v>
      </c>
    </row>
    <row r="524" spans="1:1" x14ac:dyDescent="0.2">
      <c r="A524" s="52" t="s">
        <v>616</v>
      </c>
    </row>
    <row r="525" spans="1:1" x14ac:dyDescent="0.2">
      <c r="A525" s="52" t="s">
        <v>617</v>
      </c>
    </row>
    <row r="526" spans="1:1" x14ac:dyDescent="0.2">
      <c r="A526" s="52" t="s">
        <v>618</v>
      </c>
    </row>
    <row r="527" spans="1:1" x14ac:dyDescent="0.2">
      <c r="A527" s="52" t="s">
        <v>263</v>
      </c>
    </row>
    <row r="528" spans="1:1" x14ac:dyDescent="0.2">
      <c r="A528" s="52" t="s">
        <v>264</v>
      </c>
    </row>
    <row r="529" spans="1:1" x14ac:dyDescent="0.2">
      <c r="A529" s="52" t="s">
        <v>265</v>
      </c>
    </row>
    <row r="530" spans="1:1" x14ac:dyDescent="0.2">
      <c r="A530" s="52" t="s">
        <v>266</v>
      </c>
    </row>
    <row r="531" spans="1:1" x14ac:dyDescent="0.2">
      <c r="A531" s="52" t="s">
        <v>619</v>
      </c>
    </row>
    <row r="532" spans="1:1" x14ac:dyDescent="0.2">
      <c r="A532" s="52" t="s">
        <v>620</v>
      </c>
    </row>
    <row r="533" spans="1:1" x14ac:dyDescent="0.2">
      <c r="A533" s="52" t="s">
        <v>621</v>
      </c>
    </row>
    <row r="534" spans="1:1" x14ac:dyDescent="0.2">
      <c r="A534" s="52" t="s">
        <v>267</v>
      </c>
    </row>
    <row r="535" spans="1:1" x14ac:dyDescent="0.2">
      <c r="A535" s="52" t="s">
        <v>622</v>
      </c>
    </row>
    <row r="536" spans="1:1" x14ac:dyDescent="0.2">
      <c r="A536" s="52" t="s">
        <v>623</v>
      </c>
    </row>
    <row r="537" spans="1:1" x14ac:dyDescent="0.2">
      <c r="A537" s="52" t="s">
        <v>624</v>
      </c>
    </row>
    <row r="538" spans="1:1" x14ac:dyDescent="0.2">
      <c r="A538" s="52" t="s">
        <v>268</v>
      </c>
    </row>
    <row r="539" spans="1:1" x14ac:dyDescent="0.2">
      <c r="A539" s="52" t="s">
        <v>625</v>
      </c>
    </row>
    <row r="540" spans="1:1" x14ac:dyDescent="0.2">
      <c r="A540" s="52" t="s">
        <v>626</v>
      </c>
    </row>
    <row r="541" spans="1:1" x14ac:dyDescent="0.2">
      <c r="A541" s="52" t="s">
        <v>269</v>
      </c>
    </row>
    <row r="542" spans="1:1" x14ac:dyDescent="0.2">
      <c r="A542" s="52" t="s">
        <v>270</v>
      </c>
    </row>
    <row r="543" spans="1:1" x14ac:dyDescent="0.2">
      <c r="A543" s="52" t="s">
        <v>627</v>
      </c>
    </row>
    <row r="544" spans="1:1" x14ac:dyDescent="0.2">
      <c r="A544" s="52" t="s">
        <v>271</v>
      </c>
    </row>
    <row r="545" spans="1:1" x14ac:dyDescent="0.2">
      <c r="A545" s="52" t="s">
        <v>272</v>
      </c>
    </row>
    <row r="546" spans="1:1" x14ac:dyDescent="0.2">
      <c r="A546" s="52" t="s">
        <v>273</v>
      </c>
    </row>
    <row r="547" spans="1:1" x14ac:dyDescent="0.2">
      <c r="A547" s="52" t="s">
        <v>274</v>
      </c>
    </row>
    <row r="548" spans="1:1" x14ac:dyDescent="0.2">
      <c r="A548" s="52" t="s">
        <v>275</v>
      </c>
    </row>
    <row r="549" spans="1:1" x14ac:dyDescent="0.2">
      <c r="A549" s="52" t="s">
        <v>276</v>
      </c>
    </row>
    <row r="550" spans="1:1" x14ac:dyDescent="0.2">
      <c r="A550" s="52" t="s">
        <v>277</v>
      </c>
    </row>
    <row r="551" spans="1:1" x14ac:dyDescent="0.2">
      <c r="A551" s="52" t="s">
        <v>278</v>
      </c>
    </row>
    <row r="552" spans="1:1" x14ac:dyDescent="0.2">
      <c r="A552" s="52" t="s">
        <v>279</v>
      </c>
    </row>
    <row r="553" spans="1:1" x14ac:dyDescent="0.2">
      <c r="A553" s="52" t="s">
        <v>628</v>
      </c>
    </row>
    <row r="554" spans="1:1" x14ac:dyDescent="0.2">
      <c r="A554" s="52" t="s">
        <v>280</v>
      </c>
    </row>
    <row r="555" spans="1:1" x14ac:dyDescent="0.2">
      <c r="A555" s="52" t="s">
        <v>629</v>
      </c>
    </row>
    <row r="556" spans="1:1" x14ac:dyDescent="0.2">
      <c r="A556" s="52" t="s">
        <v>281</v>
      </c>
    </row>
    <row r="557" spans="1:1" x14ac:dyDescent="0.2">
      <c r="A557" s="52" t="s">
        <v>282</v>
      </c>
    </row>
    <row r="558" spans="1:1" x14ac:dyDescent="0.2">
      <c r="A558" s="52" t="s">
        <v>630</v>
      </c>
    </row>
    <row r="559" spans="1:1" x14ac:dyDescent="0.2">
      <c r="A559" s="52" t="s">
        <v>631</v>
      </c>
    </row>
    <row r="560" spans="1:1" x14ac:dyDescent="0.2">
      <c r="A560" s="52" t="s">
        <v>644</v>
      </c>
    </row>
    <row r="561" spans="1:1" x14ac:dyDescent="0.2">
      <c r="A561" s="52" t="s">
        <v>283</v>
      </c>
    </row>
    <row r="562" spans="1:1" x14ac:dyDescent="0.2">
      <c r="A562" s="52" t="s">
        <v>633</v>
      </c>
    </row>
    <row r="563" spans="1:1" x14ac:dyDescent="0.2">
      <c r="A563" s="52" t="s">
        <v>634</v>
      </c>
    </row>
    <row r="564" spans="1:1" x14ac:dyDescent="0.2">
      <c r="A564" s="52" t="s">
        <v>635</v>
      </c>
    </row>
    <row r="565" spans="1:1" x14ac:dyDescent="0.2">
      <c r="A565" s="52" t="s">
        <v>636</v>
      </c>
    </row>
    <row r="566" spans="1:1" x14ac:dyDescent="0.2">
      <c r="A566" s="52" t="s">
        <v>637</v>
      </c>
    </row>
    <row r="567" spans="1:1" x14ac:dyDescent="0.2">
      <c r="A567" s="52" t="s">
        <v>284</v>
      </c>
    </row>
    <row r="568" spans="1:1" x14ac:dyDescent="0.2">
      <c r="A568" s="52" t="s">
        <v>638</v>
      </c>
    </row>
    <row r="569" spans="1:1" x14ac:dyDescent="0.2">
      <c r="A569" s="52" t="s">
        <v>639</v>
      </c>
    </row>
    <row r="570" spans="1:1" x14ac:dyDescent="0.2">
      <c r="A570" s="52" t="s">
        <v>640</v>
      </c>
    </row>
    <row r="571" spans="1:1" x14ac:dyDescent="0.2">
      <c r="A571" s="52" t="s">
        <v>641</v>
      </c>
    </row>
    <row r="572" spans="1:1" x14ac:dyDescent="0.2">
      <c r="A572" s="52" t="s">
        <v>285</v>
      </c>
    </row>
    <row r="573" spans="1:1" x14ac:dyDescent="0.2">
      <c r="A573" s="52" t="s">
        <v>642</v>
      </c>
    </row>
    <row r="574" spans="1:1" x14ac:dyDescent="0.2">
      <c r="A574" s="52" t="s">
        <v>643</v>
      </c>
    </row>
    <row r="575" spans="1:1" x14ac:dyDescent="0.2">
      <c r="A575" s="52" t="s">
        <v>645</v>
      </c>
    </row>
    <row r="576" spans="1:1" x14ac:dyDescent="0.2">
      <c r="A576" s="52" t="s">
        <v>646</v>
      </c>
    </row>
    <row r="577" spans="1:1" x14ac:dyDescent="0.2">
      <c r="A577" s="52" t="s">
        <v>286</v>
      </c>
    </row>
    <row r="578" spans="1:1" x14ac:dyDescent="0.2">
      <c r="A578" s="52" t="s">
        <v>287</v>
      </c>
    </row>
    <row r="579" spans="1:1" x14ac:dyDescent="0.2">
      <c r="A579" s="52" t="s">
        <v>647</v>
      </c>
    </row>
    <row r="580" spans="1:1" x14ac:dyDescent="0.2">
      <c r="A580" s="52" t="s">
        <v>693</v>
      </c>
    </row>
    <row r="581" spans="1:1" x14ac:dyDescent="0.2">
      <c r="A581" s="52" t="s">
        <v>288</v>
      </c>
    </row>
    <row r="582" spans="1:1" x14ac:dyDescent="0.2">
      <c r="A582" s="52" t="s">
        <v>648</v>
      </c>
    </row>
    <row r="583" spans="1:1" x14ac:dyDescent="0.2">
      <c r="A583" s="52" t="s">
        <v>289</v>
      </c>
    </row>
    <row r="584" spans="1:1" x14ac:dyDescent="0.2">
      <c r="A584" s="52" t="s">
        <v>649</v>
      </c>
    </row>
    <row r="585" spans="1:1" x14ac:dyDescent="0.2">
      <c r="A585" s="52" t="s">
        <v>650</v>
      </c>
    </row>
    <row r="586" spans="1:1" x14ac:dyDescent="0.2">
      <c r="A586" s="52" t="s">
        <v>290</v>
      </c>
    </row>
    <row r="587" spans="1:1" x14ac:dyDescent="0.2">
      <c r="A587" s="52" t="s">
        <v>291</v>
      </c>
    </row>
    <row r="588" spans="1:1" x14ac:dyDescent="0.2">
      <c r="A588" s="52" t="s">
        <v>292</v>
      </c>
    </row>
    <row r="589" spans="1:1" x14ac:dyDescent="0.2">
      <c r="A589" s="52" t="s">
        <v>391</v>
      </c>
    </row>
    <row r="590" spans="1:1" x14ac:dyDescent="0.2">
      <c r="A590" s="52" t="s">
        <v>652</v>
      </c>
    </row>
    <row r="591" spans="1:1" x14ac:dyDescent="0.2">
      <c r="A591" s="52" t="s">
        <v>653</v>
      </c>
    </row>
    <row r="592" spans="1:1" x14ac:dyDescent="0.2">
      <c r="A592" s="52" t="s">
        <v>293</v>
      </c>
    </row>
    <row r="593" spans="1:1" x14ac:dyDescent="0.2">
      <c r="A593" s="52" t="s">
        <v>294</v>
      </c>
    </row>
    <row r="594" spans="1:1" x14ac:dyDescent="0.2">
      <c r="A594" s="52" t="s">
        <v>654</v>
      </c>
    </row>
    <row r="595" spans="1:1" x14ac:dyDescent="0.2">
      <c r="A595" s="52" t="s">
        <v>655</v>
      </c>
    </row>
    <row r="596" spans="1:1" x14ac:dyDescent="0.2">
      <c r="A596" s="52" t="s">
        <v>656</v>
      </c>
    </row>
    <row r="597" spans="1:1" x14ac:dyDescent="0.2">
      <c r="A597" s="52" t="s">
        <v>657</v>
      </c>
    </row>
    <row r="598" spans="1:1" x14ac:dyDescent="0.2">
      <c r="A598" s="52" t="s">
        <v>658</v>
      </c>
    </row>
    <row r="599" spans="1:1" x14ac:dyDescent="0.2">
      <c r="A599" s="52" t="s">
        <v>659</v>
      </c>
    </row>
    <row r="600" spans="1:1" x14ac:dyDescent="0.2">
      <c r="A600" s="52" t="s">
        <v>295</v>
      </c>
    </row>
    <row r="601" spans="1:1" x14ac:dyDescent="0.2">
      <c r="A601" s="52" t="s">
        <v>296</v>
      </c>
    </row>
    <row r="602" spans="1:1" x14ac:dyDescent="0.2">
      <c r="A602" s="52" t="s">
        <v>297</v>
      </c>
    </row>
    <row r="603" spans="1:1" x14ac:dyDescent="0.2">
      <c r="A603" s="52" t="s">
        <v>660</v>
      </c>
    </row>
    <row r="604" spans="1:1" x14ac:dyDescent="0.2">
      <c r="A604" s="52" t="s">
        <v>661</v>
      </c>
    </row>
    <row r="605" spans="1:1" x14ac:dyDescent="0.2">
      <c r="A605" s="52" t="s">
        <v>662</v>
      </c>
    </row>
    <row r="606" spans="1:1" x14ac:dyDescent="0.2">
      <c r="A606" s="52" t="s">
        <v>375</v>
      </c>
    </row>
    <row r="607" spans="1:1" x14ac:dyDescent="0.2">
      <c r="A607" s="52" t="s">
        <v>363</v>
      </c>
    </row>
    <row r="608" spans="1:1" x14ac:dyDescent="0.2">
      <c r="A608" s="52" t="s">
        <v>663</v>
      </c>
    </row>
    <row r="609" spans="1:1" x14ac:dyDescent="0.2">
      <c r="A609" s="52" t="s">
        <v>364</v>
      </c>
    </row>
    <row r="610" spans="1:1" x14ac:dyDescent="0.2">
      <c r="A610" s="52" t="s">
        <v>298</v>
      </c>
    </row>
    <row r="611" spans="1:1" x14ac:dyDescent="0.2">
      <c r="A611" s="52" t="s">
        <v>390</v>
      </c>
    </row>
    <row r="612" spans="1:1" x14ac:dyDescent="0.2">
      <c r="A612" s="52" t="s">
        <v>365</v>
      </c>
    </row>
    <row r="613" spans="1:1" x14ac:dyDescent="0.2">
      <c r="A613" s="52" t="s">
        <v>366</v>
      </c>
    </row>
    <row r="614" spans="1:1" x14ac:dyDescent="0.2">
      <c r="A614" s="52" t="s">
        <v>387</v>
      </c>
    </row>
    <row r="615" spans="1:1" x14ac:dyDescent="0.2">
      <c r="A615" s="52" t="s">
        <v>410</v>
      </c>
    </row>
    <row r="616" spans="1:1" x14ac:dyDescent="0.2">
      <c r="A616" s="52" t="s">
        <v>411</v>
      </c>
    </row>
    <row r="617" spans="1:1" x14ac:dyDescent="0.2">
      <c r="A617" s="52" t="s">
        <v>441</v>
      </c>
    </row>
    <row r="618" spans="1:1" x14ac:dyDescent="0.2">
      <c r="A618" s="52" t="s">
        <v>664</v>
      </c>
    </row>
    <row r="619" spans="1:1" x14ac:dyDescent="0.2">
      <c r="A619" s="52" t="s">
        <v>299</v>
      </c>
    </row>
    <row r="620" spans="1:1" x14ac:dyDescent="0.2">
      <c r="A620" s="52" t="s">
        <v>300</v>
      </c>
    </row>
    <row r="621" spans="1:1" x14ac:dyDescent="0.2">
      <c r="A621" s="52" t="s">
        <v>301</v>
      </c>
    </row>
    <row r="622" spans="1:1" x14ac:dyDescent="0.2">
      <c r="A622" s="52" t="s">
        <v>302</v>
      </c>
    </row>
    <row r="623" spans="1:1" x14ac:dyDescent="0.2">
      <c r="A623" s="52" t="s">
        <v>303</v>
      </c>
    </row>
    <row r="624" spans="1:1" x14ac:dyDescent="0.2">
      <c r="A624" s="52" t="s">
        <v>304</v>
      </c>
    </row>
    <row r="625" spans="1:1" x14ac:dyDescent="0.2">
      <c r="A625" s="52" t="s">
        <v>666</v>
      </c>
    </row>
    <row r="626" spans="1:1" x14ac:dyDescent="0.2">
      <c r="A626" s="52" t="s">
        <v>667</v>
      </c>
    </row>
    <row r="627" spans="1:1" x14ac:dyDescent="0.2">
      <c r="A627" s="52" t="s">
        <v>305</v>
      </c>
    </row>
    <row r="628" spans="1:1" x14ac:dyDescent="0.2">
      <c r="A628" s="52" t="s">
        <v>399</v>
      </c>
    </row>
    <row r="629" spans="1:1" x14ac:dyDescent="0.2">
      <c r="A629" s="52" t="s">
        <v>668</v>
      </c>
    </row>
    <row r="630" spans="1:1" x14ac:dyDescent="0.2">
      <c r="A630" s="52" t="s">
        <v>669</v>
      </c>
    </row>
    <row r="631" spans="1:1" x14ac:dyDescent="0.2">
      <c r="A631" s="52" t="s">
        <v>670</v>
      </c>
    </row>
    <row r="632" spans="1:1" x14ac:dyDescent="0.2">
      <c r="A632" s="52" t="s">
        <v>306</v>
      </c>
    </row>
    <row r="633" spans="1:1" x14ac:dyDescent="0.2">
      <c r="A633" s="52" t="s">
        <v>307</v>
      </c>
    </row>
    <row r="634" spans="1:1" x14ac:dyDescent="0.2">
      <c r="A634" s="52" t="s">
        <v>671</v>
      </c>
    </row>
    <row r="635" spans="1:1" x14ac:dyDescent="0.2">
      <c r="A635" s="52" t="s">
        <v>672</v>
      </c>
    </row>
    <row r="636" spans="1:1" x14ac:dyDescent="0.2">
      <c r="A636" s="52" t="s">
        <v>308</v>
      </c>
    </row>
    <row r="637" spans="1:1" x14ac:dyDescent="0.2">
      <c r="A637" s="52" t="s">
        <v>673</v>
      </c>
    </row>
    <row r="638" spans="1:1" x14ac:dyDescent="0.2">
      <c r="A638" s="52" t="s">
        <v>674</v>
      </c>
    </row>
    <row r="639" spans="1:1" x14ac:dyDescent="0.2">
      <c r="A639" s="52" t="s">
        <v>675</v>
      </c>
    </row>
    <row r="640" spans="1:1" x14ac:dyDescent="0.2">
      <c r="A640" s="52" t="s">
        <v>676</v>
      </c>
    </row>
    <row r="641" spans="1:1" x14ac:dyDescent="0.2">
      <c r="A641" s="52" t="s">
        <v>309</v>
      </c>
    </row>
    <row r="642" spans="1:1" x14ac:dyDescent="0.2">
      <c r="A642" s="52" t="s">
        <v>310</v>
      </c>
    </row>
    <row r="643" spans="1:1" x14ac:dyDescent="0.2">
      <c r="A643" s="52" t="s">
        <v>311</v>
      </c>
    </row>
    <row r="644" spans="1:1" x14ac:dyDescent="0.2">
      <c r="A644" s="52" t="s">
        <v>677</v>
      </c>
    </row>
    <row r="645" spans="1:1" x14ac:dyDescent="0.2">
      <c r="A645" s="52" t="s">
        <v>312</v>
      </c>
    </row>
    <row r="646" spans="1:1" x14ac:dyDescent="0.2">
      <c r="A646" s="52" t="s">
        <v>313</v>
      </c>
    </row>
    <row r="647" spans="1:1" x14ac:dyDescent="0.2">
      <c r="A647" s="52" t="s">
        <v>314</v>
      </c>
    </row>
    <row r="648" spans="1:1" x14ac:dyDescent="0.2">
      <c r="A648" s="52" t="s">
        <v>651</v>
      </c>
    </row>
    <row r="649" spans="1:1" x14ac:dyDescent="0.2">
      <c r="A649" s="52" t="s">
        <v>315</v>
      </c>
    </row>
    <row r="650" spans="1:1" x14ac:dyDescent="0.2">
      <c r="A650" s="52" t="s">
        <v>316</v>
      </c>
    </row>
    <row r="651" spans="1:1" x14ac:dyDescent="0.2">
      <c r="A651" s="52" t="s">
        <v>317</v>
      </c>
    </row>
    <row r="652" spans="1:1" x14ac:dyDescent="0.2">
      <c r="A652" s="52" t="s">
        <v>682</v>
      </c>
    </row>
    <row r="653" spans="1:1" x14ac:dyDescent="0.2">
      <c r="A653" s="52" t="s">
        <v>318</v>
      </c>
    </row>
    <row r="654" spans="1:1" x14ac:dyDescent="0.2">
      <c r="A654" s="52" t="s">
        <v>319</v>
      </c>
    </row>
    <row r="655" spans="1:1" x14ac:dyDescent="0.2">
      <c r="A655" s="52" t="s">
        <v>320</v>
      </c>
    </row>
    <row r="656" spans="1:1" x14ac:dyDescent="0.2">
      <c r="A656" s="52" t="s">
        <v>321</v>
      </c>
    </row>
    <row r="657" spans="1:1" x14ac:dyDescent="0.2">
      <c r="A657" s="52" t="s">
        <v>322</v>
      </c>
    </row>
    <row r="658" spans="1:1" x14ac:dyDescent="0.2">
      <c r="A658" s="52" t="s">
        <v>683</v>
      </c>
    </row>
    <row r="659" spans="1:1" x14ac:dyDescent="0.2">
      <c r="A659" s="52" t="s">
        <v>323</v>
      </c>
    </row>
    <row r="660" spans="1:1" x14ac:dyDescent="0.2">
      <c r="A660" s="52" t="s">
        <v>324</v>
      </c>
    </row>
    <row r="661" spans="1:1" x14ac:dyDescent="0.2">
      <c r="A661" s="52" t="s">
        <v>392</v>
      </c>
    </row>
    <row r="662" spans="1:1" x14ac:dyDescent="0.2">
      <c r="A662" s="52" t="s">
        <v>325</v>
      </c>
    </row>
    <row r="663" spans="1:1" x14ac:dyDescent="0.2">
      <c r="A663" s="52" t="s">
        <v>326</v>
      </c>
    </row>
    <row r="664" spans="1:1" x14ac:dyDescent="0.2">
      <c r="A664" s="52" t="s">
        <v>684</v>
      </c>
    </row>
    <row r="665" spans="1:1" x14ac:dyDescent="0.2">
      <c r="A665" s="52" t="s">
        <v>327</v>
      </c>
    </row>
    <row r="666" spans="1:1" x14ac:dyDescent="0.2">
      <c r="A666" s="52" t="s">
        <v>328</v>
      </c>
    </row>
    <row r="667" spans="1:1" x14ac:dyDescent="0.2">
      <c r="A667" s="52" t="s">
        <v>679</v>
      </c>
    </row>
    <row r="668" spans="1:1" x14ac:dyDescent="0.2">
      <c r="A668" s="52" t="s">
        <v>329</v>
      </c>
    </row>
    <row r="669" spans="1:1" x14ac:dyDescent="0.2">
      <c r="A669" s="52" t="s">
        <v>685</v>
      </c>
    </row>
    <row r="670" spans="1:1" x14ac:dyDescent="0.2">
      <c r="A670" s="52" t="s">
        <v>330</v>
      </c>
    </row>
    <row r="671" spans="1:1" x14ac:dyDescent="0.2">
      <c r="A671" s="52" t="s">
        <v>437</v>
      </c>
    </row>
    <row r="672" spans="1:1" x14ac:dyDescent="0.2">
      <c r="A672" s="52" t="s">
        <v>39</v>
      </c>
    </row>
    <row r="673" spans="1:1" x14ac:dyDescent="0.2">
      <c r="A673" s="52"/>
    </row>
    <row r="674" spans="1:1" x14ac:dyDescent="0.2">
      <c r="A674" s="52"/>
    </row>
    <row r="675" spans="1:1" x14ac:dyDescent="0.2">
      <c r="A675" s="52"/>
    </row>
    <row r="676" spans="1:1" x14ac:dyDescent="0.2">
      <c r="A676" s="52"/>
    </row>
    <row r="677" spans="1:1" x14ac:dyDescent="0.2">
      <c r="A677" s="52"/>
    </row>
    <row r="678" spans="1:1" x14ac:dyDescent="0.2">
      <c r="A678" s="52"/>
    </row>
    <row r="679" spans="1:1" x14ac:dyDescent="0.2">
      <c r="A679" s="52"/>
    </row>
    <row r="680" spans="1:1" x14ac:dyDescent="0.2">
      <c r="A680" s="52"/>
    </row>
    <row r="681" spans="1:1" x14ac:dyDescent="0.2">
      <c r="A681" s="52"/>
    </row>
    <row r="682" spans="1:1" x14ac:dyDescent="0.2">
      <c r="A682" s="52"/>
    </row>
    <row r="683" spans="1:1" x14ac:dyDescent="0.2">
      <c r="A683" s="52"/>
    </row>
    <row r="684" spans="1:1" x14ac:dyDescent="0.2">
      <c r="A684" s="52"/>
    </row>
    <row r="685" spans="1:1" x14ac:dyDescent="0.2">
      <c r="A685" s="52"/>
    </row>
    <row r="686" spans="1:1" x14ac:dyDescent="0.2">
      <c r="A686" s="52"/>
    </row>
    <row r="687" spans="1:1" x14ac:dyDescent="0.2">
      <c r="A687" s="52"/>
    </row>
    <row r="688" spans="1:1" x14ac:dyDescent="0.2">
      <c r="A688" s="52"/>
    </row>
    <row r="689" spans="1:1" x14ac:dyDescent="0.2">
      <c r="A689" s="52"/>
    </row>
    <row r="690" spans="1:1" x14ac:dyDescent="0.2">
      <c r="A690" s="52"/>
    </row>
    <row r="691" spans="1:1" x14ac:dyDescent="0.2">
      <c r="A691" s="52"/>
    </row>
    <row r="692" spans="1:1" x14ac:dyDescent="0.2">
      <c r="A692" s="52"/>
    </row>
    <row r="693" spans="1:1" x14ac:dyDescent="0.2">
      <c r="A693" s="52"/>
    </row>
    <row r="694" spans="1:1" x14ac:dyDescent="0.2">
      <c r="A694" s="52"/>
    </row>
    <row r="695" spans="1:1" x14ac:dyDescent="0.2">
      <c r="A695" s="52"/>
    </row>
    <row r="696" spans="1:1" x14ac:dyDescent="0.2">
      <c r="A696" s="52"/>
    </row>
    <row r="697" spans="1:1" x14ac:dyDescent="0.2">
      <c r="A697" s="52"/>
    </row>
    <row r="698" spans="1:1" x14ac:dyDescent="0.2">
      <c r="A698" s="52"/>
    </row>
    <row r="699" spans="1:1" x14ac:dyDescent="0.2">
      <c r="A699" s="52"/>
    </row>
    <row r="700" spans="1:1" x14ac:dyDescent="0.2">
      <c r="A700" s="52"/>
    </row>
    <row r="701" spans="1:1" x14ac:dyDescent="0.2">
      <c r="A701" s="52"/>
    </row>
    <row r="702" spans="1:1" x14ac:dyDescent="0.2">
      <c r="A702" s="52"/>
    </row>
    <row r="703" spans="1:1" x14ac:dyDescent="0.2">
      <c r="A703" s="52"/>
    </row>
    <row r="704" spans="1:1" x14ac:dyDescent="0.2">
      <c r="A704" s="52"/>
    </row>
    <row r="705" spans="1:1" x14ac:dyDescent="0.2">
      <c r="A705" s="52"/>
    </row>
    <row r="706" spans="1:1" x14ac:dyDescent="0.2">
      <c r="A706" s="52"/>
    </row>
    <row r="707" spans="1:1" x14ac:dyDescent="0.2">
      <c r="A707" s="52"/>
    </row>
    <row r="708" spans="1:1" x14ac:dyDescent="0.2">
      <c r="A708" s="52"/>
    </row>
    <row r="709" spans="1:1" x14ac:dyDescent="0.2">
      <c r="A709" s="52"/>
    </row>
    <row r="710" spans="1:1" x14ac:dyDescent="0.2">
      <c r="A710" s="52"/>
    </row>
    <row r="711" spans="1:1" x14ac:dyDescent="0.2">
      <c r="A711" s="52"/>
    </row>
    <row r="712" spans="1:1" x14ac:dyDescent="0.2">
      <c r="A712" s="52"/>
    </row>
    <row r="713" spans="1:1" x14ac:dyDescent="0.2">
      <c r="A713" s="52"/>
    </row>
    <row r="714" spans="1:1" x14ac:dyDescent="0.2">
      <c r="A714" s="52"/>
    </row>
    <row r="715" spans="1:1" x14ac:dyDescent="0.2">
      <c r="A715" s="52"/>
    </row>
    <row r="716" spans="1:1" x14ac:dyDescent="0.2">
      <c r="A716" s="52"/>
    </row>
    <row r="717" spans="1:1" x14ac:dyDescent="0.2">
      <c r="A717" s="52"/>
    </row>
    <row r="718" spans="1:1" x14ac:dyDescent="0.2">
      <c r="A718" s="52"/>
    </row>
    <row r="719" spans="1:1" x14ac:dyDescent="0.2">
      <c r="A719" s="52"/>
    </row>
    <row r="720" spans="1:1" x14ac:dyDescent="0.2">
      <c r="A720" s="52"/>
    </row>
    <row r="721" spans="1:1" x14ac:dyDescent="0.2">
      <c r="A721" s="52"/>
    </row>
    <row r="722" spans="1:1" x14ac:dyDescent="0.2">
      <c r="A722" s="52"/>
    </row>
    <row r="723" spans="1:1" x14ac:dyDescent="0.2">
      <c r="A723" s="52"/>
    </row>
    <row r="724" spans="1:1" x14ac:dyDescent="0.2">
      <c r="A724" s="52"/>
    </row>
    <row r="725" spans="1:1" x14ac:dyDescent="0.2">
      <c r="A725" s="52"/>
    </row>
    <row r="726" spans="1:1" x14ac:dyDescent="0.2">
      <c r="A726" s="52"/>
    </row>
    <row r="727" spans="1:1" x14ac:dyDescent="0.2">
      <c r="A727" s="52"/>
    </row>
    <row r="728" spans="1:1" x14ac:dyDescent="0.2">
      <c r="A728" s="52"/>
    </row>
    <row r="729" spans="1:1" x14ac:dyDescent="0.2">
      <c r="A729" s="52"/>
    </row>
    <row r="730" spans="1:1" x14ac:dyDescent="0.2">
      <c r="A730" s="52"/>
    </row>
    <row r="731" spans="1:1" x14ac:dyDescent="0.2">
      <c r="A731" s="52"/>
    </row>
    <row r="732" spans="1:1" x14ac:dyDescent="0.2">
      <c r="A732" s="52"/>
    </row>
    <row r="733" spans="1:1" x14ac:dyDescent="0.2">
      <c r="A733" s="52"/>
    </row>
    <row r="734" spans="1:1" x14ac:dyDescent="0.2">
      <c r="A734" s="52"/>
    </row>
    <row r="735" spans="1:1" x14ac:dyDescent="0.2">
      <c r="A735" s="52"/>
    </row>
    <row r="736" spans="1:1" x14ac:dyDescent="0.2">
      <c r="A736" s="52"/>
    </row>
    <row r="737" spans="1:1" x14ac:dyDescent="0.2">
      <c r="A737" s="52"/>
    </row>
    <row r="738" spans="1:1" x14ac:dyDescent="0.2">
      <c r="A738" s="52"/>
    </row>
    <row r="739" spans="1:1" x14ac:dyDescent="0.2">
      <c r="A739" s="52"/>
    </row>
    <row r="740" spans="1:1" x14ac:dyDescent="0.2">
      <c r="A740" s="52"/>
    </row>
    <row r="741" spans="1:1" x14ac:dyDescent="0.2">
      <c r="A741" s="52"/>
    </row>
    <row r="742" spans="1:1" x14ac:dyDescent="0.2">
      <c r="A742" s="52"/>
    </row>
    <row r="743" spans="1:1" x14ac:dyDescent="0.2">
      <c r="A743" s="52"/>
    </row>
    <row r="744" spans="1:1" x14ac:dyDescent="0.2">
      <c r="A744" s="52"/>
    </row>
    <row r="745" spans="1:1" x14ac:dyDescent="0.2">
      <c r="A745" s="52"/>
    </row>
    <row r="746" spans="1:1" x14ac:dyDescent="0.2">
      <c r="A746" s="52"/>
    </row>
    <row r="747" spans="1:1" x14ac:dyDescent="0.2">
      <c r="A747" s="52"/>
    </row>
    <row r="748" spans="1:1" x14ac:dyDescent="0.2">
      <c r="A748" s="52"/>
    </row>
    <row r="749" spans="1:1" x14ac:dyDescent="0.2">
      <c r="A749" s="52"/>
    </row>
    <row r="750" spans="1:1" x14ac:dyDescent="0.2">
      <c r="A750" s="52"/>
    </row>
    <row r="751" spans="1:1" x14ac:dyDescent="0.2">
      <c r="A751" s="52"/>
    </row>
    <row r="752" spans="1:1" x14ac:dyDescent="0.2">
      <c r="A752" s="52"/>
    </row>
    <row r="753" spans="1:1" x14ac:dyDescent="0.2">
      <c r="A753" s="52"/>
    </row>
    <row r="754" spans="1:1" x14ac:dyDescent="0.2">
      <c r="A754" s="52"/>
    </row>
    <row r="755" spans="1:1" x14ac:dyDescent="0.2">
      <c r="A755" s="52"/>
    </row>
    <row r="756" spans="1:1" x14ac:dyDescent="0.2">
      <c r="A756" s="52"/>
    </row>
    <row r="757" spans="1:1" x14ac:dyDescent="0.2">
      <c r="A757" s="52"/>
    </row>
    <row r="758" spans="1:1" x14ac:dyDescent="0.2">
      <c r="A758" s="52"/>
    </row>
    <row r="759" spans="1:1" x14ac:dyDescent="0.2">
      <c r="A759" s="52"/>
    </row>
    <row r="760" spans="1:1" x14ac:dyDescent="0.2">
      <c r="A760" s="52"/>
    </row>
    <row r="761" spans="1:1" x14ac:dyDescent="0.2">
      <c r="A761" s="52"/>
    </row>
    <row r="762" spans="1:1" x14ac:dyDescent="0.2">
      <c r="A762" s="52"/>
    </row>
    <row r="763" spans="1:1" x14ac:dyDescent="0.2">
      <c r="A763" s="52"/>
    </row>
    <row r="764" spans="1:1" x14ac:dyDescent="0.2">
      <c r="A764" s="52"/>
    </row>
    <row r="765" spans="1:1" x14ac:dyDescent="0.2">
      <c r="A765" s="52"/>
    </row>
    <row r="766" spans="1:1" x14ac:dyDescent="0.2">
      <c r="A766" s="52"/>
    </row>
    <row r="767" spans="1:1" x14ac:dyDescent="0.2">
      <c r="A767" s="52"/>
    </row>
    <row r="768" spans="1:1" x14ac:dyDescent="0.2">
      <c r="A768" s="52"/>
    </row>
    <row r="769" spans="1:1" x14ac:dyDescent="0.2">
      <c r="A769" s="52"/>
    </row>
    <row r="770" spans="1:1" x14ac:dyDescent="0.2">
      <c r="A770" s="52"/>
    </row>
    <row r="771" spans="1:1" x14ac:dyDescent="0.2">
      <c r="A771" s="52"/>
    </row>
    <row r="772" spans="1:1" x14ac:dyDescent="0.2">
      <c r="A772" s="52"/>
    </row>
    <row r="773" spans="1:1" x14ac:dyDescent="0.2">
      <c r="A773" s="52"/>
    </row>
    <row r="774" spans="1:1" x14ac:dyDescent="0.2">
      <c r="A774" s="52"/>
    </row>
    <row r="775" spans="1:1" x14ac:dyDescent="0.2">
      <c r="A775" s="52"/>
    </row>
    <row r="776" spans="1:1" x14ac:dyDescent="0.2">
      <c r="A776" s="52"/>
    </row>
    <row r="777" spans="1:1" x14ac:dyDescent="0.2">
      <c r="A777" s="52"/>
    </row>
    <row r="778" spans="1:1" x14ac:dyDescent="0.2">
      <c r="A778" s="52"/>
    </row>
    <row r="779" spans="1:1" x14ac:dyDescent="0.2">
      <c r="A779" s="52"/>
    </row>
    <row r="780" spans="1:1" x14ac:dyDescent="0.2">
      <c r="A780" s="52"/>
    </row>
    <row r="781" spans="1:1" x14ac:dyDescent="0.2">
      <c r="A781" s="52"/>
    </row>
    <row r="782" spans="1:1" x14ac:dyDescent="0.2">
      <c r="A782" s="52"/>
    </row>
    <row r="783" spans="1:1" x14ac:dyDescent="0.2">
      <c r="A783" s="52"/>
    </row>
  </sheetData>
  <sheetProtection sheet="1" objects="1" scenarios="1" selectLockedCells="1"/>
  <phoneticPr fontId="1" type="noConversion"/>
  <pageMargins left="0.75" right="0.75" top="1" bottom="1" header="0.5" footer="0.5"/>
  <pageSetup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1</vt:lpstr>
      <vt:lpstr>2</vt:lpstr>
      <vt:lpstr>Bank</vt:lpstr>
      <vt:lpstr>'1'!Print_Area</vt:lpstr>
      <vt:lpstr>'2'!Print_Area</vt:lpstr>
      <vt:lpstr>'1'!Print_Titles</vt:lpstr>
      <vt:lpstr>'2'!Print_Titles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User01</dc:creator>
  <cp:lastModifiedBy>User01</cp:lastModifiedBy>
  <cp:lastPrinted>2006-02-27T06:04:18Z</cp:lastPrinted>
  <dcterms:created xsi:type="dcterms:W3CDTF">2005-10-26T00:16:26Z</dcterms:created>
  <dcterms:modified xsi:type="dcterms:W3CDTF">2016-07-04T02:57:05Z</dcterms:modified>
</cp:coreProperties>
</file>